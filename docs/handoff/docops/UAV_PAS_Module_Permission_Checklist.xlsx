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d71179f8fd43aa" /></Relationships>
</file>

<file path=xl/workbook.xml><?xml version="1.0" encoding="utf-8"?>
<x:workbook xmlns:x="http://schemas.openxmlformats.org/spreadsheetml/2006/main">
  <x:sheets>
    <x:sheet xmlns:r="http://schemas.openxmlformats.org/officeDocument/2006/relationships" name="Tong quan" sheetId="1" r:id="Rb2915839c63b4493"/>
    <x:sheet xmlns:r="http://schemas.openxmlformats.org/officeDocument/2006/relationships" name="Chuc nang" sheetId="2" r:id="Rb10e98109da647d5"/>
    <x:sheet xmlns:r="http://schemas.openxmlformats.org/officeDocument/2006/relationships" name="Phan quyen" sheetId="3" r:id="R2e2e682ca70141bf"/>
    <x:sheet xmlns:r="http://schemas.openxmlformats.org/officeDocument/2006/relationships" name="Lo trinh" sheetId="4" r:id="R083b3bc8424d415c"/>
    <x:sheet xmlns:r="http://schemas.openxmlformats.org/officeDocument/2006/relationships" name="Nguon va cach doc" sheetId="5" r:id="R956ec4509f404d5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7212B"/>
      <x:name val="Carlito"/>
    </x:font>
    <x:font>
      <x:b/>
      <x:sz val="11"/>
      <x:color rgb="FFFFFFFF"/>
      <x:name val="Carlito"/>
    </x:font>
    <x:font>
      <x:b/>
      <x:sz val="11"/>
      <x:color rgb="FF17212B"/>
      <x:name val="Carlito"/>
    </x:font>
    <x:font>
      <x:b/>
      <x:sz val="11"/>
      <x:name val="Carlito"/>
    </x:font>
  </x:fonts>
  <x:fills count="8">
    <x:fill>
      <x:patternFill patternType="none"/>
    </x:fill>
    <x:fill>
      <x:patternFill patternType="gray125"/>
    </x:fill>
    <x:fill>
      <x:patternFill patternType="solid">
        <x:fgColor rgb="FF243746"/>
      </x:patternFill>
    </x:fill>
    <x:fill>
      <x:patternFill patternType="solid">
        <x:fgColor rgb="FFF1F4F6"/>
      </x:patternFill>
    </x:fill>
    <x:fill>
      <x:patternFill patternType="solid">
        <x:fgColor rgb="FFF1F7FA"/>
      </x:patternFill>
    </x:fill>
    <x:fill>
      <x:patternFill patternType="solid">
        <x:fgColor rgb="FFE9EEF2"/>
      </x:patternFill>
    </x:fill>
    <x:fill>
      <x:patternFill patternType="solid">
        <x:fgColor rgb="FFF4F7F9"/>
      </x:patternFill>
    </x:fill>
    <x:fill>
      <x:patternFill patternType="solid">
        <x:fgColor rgb="FF1F374A"/>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center" wrapText="1"/>
    </x:xf>
    <x:xf numFmtId="0" fontId="1"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3"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2" fillId="7"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cellXfs>
  <x:cellStyles count="1">
    <x:cellStyle name="Normal" xfId="0"/>
  </x:cellStyles>
  <x:dxfs count="5">
    <x:dxf>
      <x:fill>
        <x:patternFill>
          <x:bgColor rgb="FFE5F1E9"/>
        </x:patternFill>
      </x:fill>
    </x:dxf>
    <x:dxf>
      <x:fill>
        <x:patternFill>
          <x:bgColor rgb="FFFFF3D6"/>
        </x:patternFill>
      </x:fill>
    </x:dxf>
    <x:dxf>
      <x:fill>
        <x:patternFill>
          <x:bgColor rgb="FFFBE9E7"/>
        </x:patternFill>
      </x:fill>
    </x:dxf>
    <x:dxf>
      <x:fill>
        <x:patternFill>
          <x:bgColor rgb="FFEEF1F4"/>
        </x:patternFill>
      </x:fill>
    </x:dxf>
    <x:dxf>
      <x:fill>
        <x:patternFill>
          <x:bgColor rgb="FFE9E9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c3959511db42ee" /><Relationship Type="http://schemas.openxmlformats.org/officeDocument/2006/relationships/theme" Target="/xl/theme/theme1.xml" Id="R3fa710aedcf74ac6" /><Relationship Type="http://schemas.openxmlformats.org/officeDocument/2006/relationships/sharedStrings" Target="/xl/sharedStrings.xml" Id="R683ed998d39d4e43" /><Relationship Type="http://schemas.openxmlformats.org/officeDocument/2006/relationships/worksheet" Target="/xl/worksheets/sheet1.xml" Id="Rb2915839c63b4493" /><Relationship Type="http://schemas.openxmlformats.org/officeDocument/2006/relationships/worksheet" Target="/xl/worksheets/sheet2.xml" Id="Rb10e98109da647d5" /><Relationship Type="http://schemas.openxmlformats.org/officeDocument/2006/relationships/worksheet" Target="/xl/worksheets/sheet3.xml" Id="R2e2e682ca70141bf" /><Relationship Type="http://schemas.openxmlformats.org/officeDocument/2006/relationships/worksheet" Target="/xl/worksheets/sheet4.xml" Id="R083b3bc8424d415c" /><Relationship Type="http://schemas.openxmlformats.org/officeDocument/2006/relationships/worksheet" Target="/xl/worksheets/sheet5.xml" Id="R956ec4509f404d5a" /></Relationships>
</file>

<file path=xl/tables/table1.xml><?xml version="1.0" encoding="utf-8"?>
<x:table xmlns:x="http://schemas.openxmlformats.org/spreadsheetml/2006/main" id="4" name="ModuleOverview" displayName="ModuleOverview" ref="A11:H23" headerRowCount="1" totalsRowCount="0" totalsRowShown="0">
  <x:tableColumns count="8">
    <x:tableColumn id="1" name="#"/>
    <x:tableColumn id="2" name="Nhánh chính"/>
    <x:tableColumn id="3" name="Phạm vi"/>
    <x:tableColumn id="4" name="Kết luận theo nguồn"/>
    <x:tableColumn id="5" name="Phần đã có"/>
    <x:tableColumn id="6" name="Phần còn thiếu/chưa biết"/>
    <x:tableColumn id="7" name="Bước tiếp theo — đề xuất"/>
    <x:tableColumn id="8" name="Nguồn"/>
  </x:tableColumns>
  <x:tableStyleInfo name="TableStyleMedium2" showFirstColumn="0" showLastColumn="0" showRowStripes="1" showColumnStripes="0"/>
</x:table>
</file>

<file path=xl/tables/table2.xml><?xml version="1.0" encoding="utf-8"?>
<x:table xmlns:x="http://schemas.openxmlformats.org/spreadsheetml/2006/main" id="1" name="FeatureChecklist" displayName="FeatureChecklist" ref="A6:K82" headerRowCount="1" totalsRowCount="0" totalsRowShown="0">
  <x:tableColumns count="11">
    <x:tableColumn id="1" name="ID"/>
    <x:tableColumn id="2" name="Nhánh"/>
    <x:tableColumn id="3" name="Chức năng"/>
    <x:tableColumn id="4" name="Trạng thái theo nguồn"/>
    <x:tableColumn id="5" name="Bằng chứng/phạm vi hiện có"/>
    <x:tableColumn id="6" name="Cần hoàn thiện — đề xuất"/>
    <x:tableColumn id="7" name="Nguồn"/>
    <x:tableColumn id="8" name="Ưu tiên"/>
    <x:tableColumn id="9" name="Điều kiện kiểm tra — đề xuất"/>
    <x:tableColumn id="10" name="Cập nhật mới"/>
    <x:tableColumn id="11" name="Bằng chứng mới / ghi chú"/>
  </x:tableColumns>
  <x:tableStyleInfo name="TableStyleMedium2" showFirstColumn="0" showLastColumn="0" showRowStripes="1" showColumnStripes="0"/>
</x:table>
</file>

<file path=xl/tables/table3.xml><?xml version="1.0" encoding="utf-8"?>
<x:table xmlns:x="http://schemas.openxmlformats.org/spreadsheetml/2006/main" id="2" name="PermissionReview" displayName="PermissionReview" ref="A6:H26" headerRowCount="1" totalsRowCount="0" totalsRowShown="0">
  <x:tableColumns count="8">
    <x:tableColumn id="1" name="Nhóm"/>
    <x:tableColumn id="2" name="Mã quyền theo nguồn"/>
    <x:tableColumn id="3" name="Hành động/API hiện có"/>
    <x:tableColumn id="4" name="Trạng thái nguồn"/>
    <x:tableColumn id="5" name="Bổ sung/tách quyền — đề xuất"/>
    <x:tableColumn id="6" name="Phạm vi dữ liệu — đề xuất"/>
    <x:tableColumn id="7" name="Kiểm thử cần có — đề xuất"/>
    <x:tableColumn id="8" name="Nguồn"/>
  </x:tableColumns>
  <x:tableStyleInfo name="TableStyleMedium2" showFirstColumn="0" showLastColumn="0" showRowStripes="1" showColumnStripes="0"/>
</x:table>
</file>

<file path=xl/tables/table4.xml><?xml version="1.0" encoding="utf-8"?>
<x:table xmlns:x="http://schemas.openxmlformats.org/spreadsheetml/2006/main" id="3" name="DeliveryRoadmap" displayName="DeliveryRoadmap" ref="A6:I17" headerRowCount="1" totalsRowCount="0" totalsRowShown="0">
  <x:tableColumns count="9">
    <x:tableColumn id="1" name="Mốc"/>
    <x:tableColumn id="2" name="Công việc"/>
    <x:tableColumn id="3" name="Ưu tiên"/>
    <x:tableColumn id="4" name="Phụ thuộc"/>
    <x:tableColumn id="5" name="Nội dung"/>
    <x:tableColumn id="6" name="Điều kiện qua mốc"/>
    <x:tableColumn id="7" name="Bàn giao"/>
    <x:tableColumn id="8" name="Ràng buộc"/>
    <x:tableColumn id="9" name="Trạng thái kế hoạch"/>
  </x:tableColumns>
  <x:tableStyleInfo name="TableStyleMedium2" showFirstColumn="0" showLastColumn="0" showRowStripes="1" showColumnStripes="0"/>
</x:table>
</file>

<file path=xl/tables/table5.xml><?xml version="1.0" encoding="utf-8"?>
<x:table xmlns:x="http://schemas.openxmlformats.org/spreadsheetml/2006/main" id="5" name="EvidenceGuide" displayName="EvidenceGuide" ref="A6:D22" headerRowCount="1" totalsRowCount="0" totalsRowShown="0">
  <x:tableColumns count="4">
    <x:tableColumn id="1" name="Mục"/>
    <x:tableColumn id="2" name="Giá trị / ký hiệu"/>
    <x:tableColumn id="3" name="Giải thích"/>
    <x:tableColumn id="4" name="Lưu ý"/>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a49b9c9d874b02" /></Relationships>
</file>

<file path=xl/worksheets/_rels/sheet2.xml.rels>&#65279;<?xml version="1.0" encoding="utf-8"?><Relationships xmlns="http://schemas.openxmlformats.org/package/2006/relationships"><Relationship Type="http://schemas.openxmlformats.org/officeDocument/2006/relationships/table" Target="/xl/tables/table2.xml" Id="Rf1c883a742f84aa8" /></Relationships>
</file>

<file path=xl/worksheets/_rels/sheet3.xml.rels>&#65279;<?xml version="1.0" encoding="utf-8"?><Relationships xmlns="http://schemas.openxmlformats.org/package/2006/relationships"><Relationship Type="http://schemas.openxmlformats.org/officeDocument/2006/relationships/table" Target="/xl/tables/table3.xml" Id="R3da2d26ba7d841cc" /></Relationships>
</file>

<file path=xl/worksheets/_rels/sheet4.xml.rels>&#65279;<?xml version="1.0" encoding="utf-8"?><Relationships xmlns="http://schemas.openxmlformats.org/package/2006/relationships"><Relationship Type="http://schemas.openxmlformats.org/officeDocument/2006/relationships/table" Target="/xl/tables/table4.xml" Id="R93b080d6f5d14cbb" /></Relationships>
</file>

<file path=xl/worksheets/_rels/sheet5.xml.rels>&#65279;<?xml version="1.0" encoding="utf-8"?><Relationships xmlns="http://schemas.openxmlformats.org/package/2006/relationships"><Relationship Type="http://schemas.openxmlformats.org/officeDocument/2006/relationships/table" Target="/xl/tables/table5.xml" Id="Rbce0c22ad99b48d9" /></Relationships>
</file>

<file path=xl/worksheets/sheet1.xml><?xml version="1.0" encoding="utf-8"?>
<x:worksheet xmlns:x="http://schemas.openxmlformats.org/spreadsheetml/2006/main">
  <x:sheetFormatPr defaultRowHeight="15"/>
  <x:cols>
    <x:col min="1" max="1" width="6" hidden="0" customWidth="1"/>
    <x:col min="2" max="2" width="36" hidden="0" customWidth="1"/>
    <x:col min="3" max="3" width="22" hidden="0" customWidth="1"/>
    <x:col min="4" max="4" width="24" hidden="0" customWidth="1"/>
    <x:col min="5" max="5" width="36" hidden="0" customWidth="1"/>
    <x:col min="6" max="6" width="40" hidden="0" customWidth="1"/>
    <x:col min="7" max="7" width="40" hidden="0" customWidth="1"/>
    <x:col min="8" max="8" width="34" hidden="0" customWidth="1"/>
  </x:cols>
  <x:sheetData>
    <x:row r="1" ht="34" customHeight="1">
      <x:c r="A1" s="9" t="str">
        <x:v>UAV PAS | TRẠNG THÁI 12 NHÁNH &amp; KẾ HOẠCH HOÀN THIỆN</x:v>
      </x:c>
      <x:c r="B1" s="9"/>
      <x:c r="C1" s="9"/>
      <x:c r="D1" s="9"/>
      <x:c r="E1" s="9"/>
      <x:c r="F1" s="9"/>
      <x:c r="G1" s="9"/>
      <x:c r="H1" s="9"/>
    </x:row>
    <x:row r="2" ht="21" customHeight="1">
      <x:c r="A2" s="13" t="str">
        <x:v>Lịch sử: PHASE_1_HANDOFF.md, 06/10/2026, HEAD 16f70f6. Cập nhật DocOps: 07/10/2026 tại HEAD 6ecc851; dùng cột J/K của Chuc nang và phần nguồn mới để đọc trạng thái hiện tại. Các cột lịch sử không bị sửa.</x:v>
      </x:c>
      <x:c r="B2" s="13"/>
      <x:c r="C2" s="13"/>
      <x:c r="D2" s="13"/>
      <x:c r="E2" s="13"/>
      <x:c r="F2" s="13"/>
      <x:c r="G2" s="13"/>
      <x:c r="H2" s="13"/>
    </x:row>
    <x:row r="3" ht="21" customHeight="1">
      <x:c r="A3" s="13"/>
      <x:c r="B3" s="13"/>
      <x:c r="C3" s="13"/>
      <x:c r="D3" s="13"/>
      <x:c r="E3" s="13"/>
      <x:c r="F3" s="13"/>
      <x:c r="G3" s="13"/>
      <x:c r="H3" s="13"/>
    </x:row>
    <x:row r="4" ht="8" customHeight="1">
      <x:c r="A4" s="4"/>
      <x:c r="B4" s="4"/>
      <x:c r="C4" s="4"/>
      <x:c r="D4" s="4"/>
      <x:c r="E4" s="4"/>
      <x:c r="F4" s="4"/>
      <x:c r="G4" s="4"/>
      <x:c r="H4" s="4"/>
    </x:row>
    <x:row r="5" ht="30" customHeight="1">
      <x:c r="A5" s="23" t="str">
        <x:v>Nhánh đang trong phạm vi</x:v>
      </x:c>
      <x:c r="B5" s="23"/>
      <x:c r="C5" s="23" t="str">
        <x:v>Nhánh tạm hoãn</x:v>
      </x:c>
      <x:c r="D5" s="23"/>
      <x:c r="E5" s="23" t="str">
        <x:v>Nhánh có bằng chứng hoàn tất E2E</x:v>
      </x:c>
      <x:c r="F5" s="23"/>
      <x:c r="G5" s="23" t="str">
        <x:v>Hạng mục trong checklist</x:v>
      </x:c>
      <x:c r="H5" s="23"/>
    </x:row>
    <x:row r="6" ht="24" customHeight="1">
      <x:c r="A6" s="29" t="n">
        <x:f>COUNTIF(C12:C23,"ĐANG TRIỂN KHAI")</x:f>
        <x:v>10</x:v>
      </x:c>
      <x:c r="B6" s="29"/>
      <x:c r="C6" s="29" t="n">
        <x:f>COUNTIF(C12:C23,"TẠM HOÃN")</x:f>
        <x:v>2</x:v>
      </x:c>
      <x:c r="D6" s="29"/>
      <x:c r="E6" s="29" t="n">
        <x:f>COUNTIF(D12:D23,"ĐÃ NGHIỆM THU")</x:f>
        <x:v>0</x:v>
      </x:c>
      <x:c r="F6" s="29"/>
      <x:c r="G6" s="29" t="n">
        <x:f>COUNTA('Chuc nang'!A7:A82)</x:f>
        <x:v>76</x:v>
      </x:c>
      <x:c r="H6" s="29"/>
    </x:row>
    <x:row r="7" ht="24" customHeight="1">
      <x:c r="A7" s="29"/>
      <x:c r="B7" s="29"/>
      <x:c r="C7" s="29"/>
      <x:c r="D7" s="29"/>
      <x:c r="E7" s="29"/>
      <x:c r="F7" s="29"/>
      <x:c r="G7" s="29"/>
      <x:c r="H7" s="29"/>
    </x:row>
    <x:row r="8" ht="8" customHeight="1">
      <x:c r="A8" s="4"/>
      <x:c r="B8" s="4"/>
      <x:c r="C8" s="4"/>
      <x:c r="D8" s="4"/>
      <x:c r="E8" s="4"/>
      <x:c r="F8" s="4"/>
      <x:c r="G8" s="4"/>
      <x:c r="H8" s="4"/>
    </x:row>
    <x:row r="9" ht="32" customHeight="1">
      <x:c r="A9" s="4" t="str">
        <x:v>Snapshot hiện tại: các luồng auth/quyền, inventory concurrency/replay, migration và test có bằng chứng hẹp; module tổng thể vẫn PARTIAL. Không suy ra hoàn tất từ số test, build hoặc source-only.</x:v>
      </x:c>
      <x:c r="B9" s="4"/>
      <x:c r="C9" s="4"/>
      <x:c r="D9" s="4"/>
      <x:c r="E9" s="4"/>
      <x:c r="F9" s="4"/>
      <x:c r="G9" s="4"/>
      <x:c r="H9" s="4"/>
    </x:row>
    <x:row r="10" ht="8" customHeight="1">
      <x:c r="A10" s="4"/>
      <x:c r="B10" s="4"/>
      <x:c r="C10" s="4"/>
      <x:c r="D10" s="4"/>
      <x:c r="E10" s="4"/>
      <x:c r="F10" s="4"/>
      <x:c r="G10" s="4"/>
      <x:c r="H10" s="4"/>
    </x:row>
    <x:row r="11" ht="32" customHeight="1">
      <x:c r="A11" s="16" t="str">
        <x:v>#</x:v>
      </x:c>
      <x:c r="B11" s="16" t="str">
        <x:v>Nhánh chính</x:v>
      </x:c>
      <x:c r="C11" s="16" t="str">
        <x:v>Phạm vi</x:v>
      </x:c>
      <x:c r="D11" s="16" t="str">
        <x:v>Kết luận theo nguồn</x:v>
      </x:c>
      <x:c r="E11" s="16" t="str">
        <x:v>Phần đã có</x:v>
      </x:c>
      <x:c r="F11" s="16" t="str">
        <x:v>Phần còn thiếu/chưa biết</x:v>
      </x:c>
      <x:c r="G11" s="16" t="str">
        <x:v>Bước tiếp theo — đề xuất</x:v>
      </x:c>
      <x:c r="H11" s="16" t="str">
        <x:v>Nguồn</x:v>
      </x:c>
    </x:row>
    <x:row r="12" ht="86" customHeight="1">
      <x:c r="A12" s="4" t="n">
        <x:v>1</x:v>
      </x:c>
      <x:c r="B12" s="4" t="str">
        <x:v>Quản lý người dùng và phân quyền</x:v>
      </x:c>
      <x:c r="C12" s="4" t="str">
        <x:v>ĐANG TRIỂN KHAI</x:v>
      </x:c>
      <x:c r="D12" s="4" t="str">
        <x:v>CÓ MỘT PHẦN</x:v>
      </x:c>
      <x:c r="E12" s="4" t="str">
        <x:v>Auth và kiểm tra quyền có test hạn chế</x:v>
      </x:c>
      <x:c r="F12" s="4" t="str">
        <x:v>Thiếu UI tích quyền; quyền còn gộp; chưa có entitlement/quota được xác minh</x:v>
      </x:c>
      <x:c r="G12" s="4" t="str">
        <x:v>Hoàn thiện Access Control và quyền theo hành động/phạm vi</x:v>
      </x:c>
      <x:c r="H12" s="4" t="str">
        <x:v>PHASE_1_HANDOFF.md | 2026-10-06 | HEAD 16f70f6 | L34; L53-L67; L149-L155</x:v>
      </x:c>
    </x:row>
    <x:row r="13" ht="86" customHeight="1">
      <x:c r="A13" s="4" t="n">
        <x:v>2</x:v>
      </x:c>
      <x:c r="B13" s="4" t="str">
        <x:v>Quản lý đội UAV</x:v>
      </x:c>
      <x:c r="C13" s="4" t="str">
        <x:v>ĐANG TRIỂN KHAI</x:v>
      </x:c>
      <x:c r="D13" s="4" t="str">
        <x:v>CÓ MỘT PHẦN</x:v>
      </x:c>
      <x:c r="E13" s="4" t="str">
        <x:v>Có CRUD, gán trạm, status/history</x:v>
      </x:c>
      <x:c r="F13" s="4" t="str">
        <x:v>Thiếu UI chi tiết; maintenance toàn luồng và duplicate serial chưa nghiệm thu</x:v>
      </x:c>
      <x:c r="G13" s="4" t="str">
        <x:v>Hoàn thiện Fleet, maintenance và model thiết bị chung với kho</x:v>
      </x:c>
      <x:c r="H13" s="4" t="str">
        <x:v>PHASE_1_HANDOFF.md | 2026-10-06 | HEAD 16f70f6 | L36; L78-L81; L192</x:v>
      </x:c>
    </x:row>
    <x:row r="14" ht="86" customHeight="1">
      <x:c r="A14" s="4" t="n">
        <x:v>3</x:v>
      </x:c>
      <x:c r="B14" s="4" t="str">
        <x:v>Quản lý trạm và kho thiết bị</x:v>
      </x:c>
      <x:c r="C14" s="4" t="str">
        <x:v>ĐANG TRIỂN KHAI</x:v>
      </x:c>
      <x:c r="D14" s="4" t="str">
        <x:v>CÓ MỘT PHẦN</x:v>
      </x:c>
      <x:c r="E14" s="4" t="str">
        <x:v>Station và inventory APIs; test một chuỗi số lượng</x:v>
      </x:c>
      <x:c r="F14" s="4" t="str">
        <x:v>Thiếu chống lặp, bàn giao/hoàn trả; kho ảo chưa xác minh; concurrency chưa test</x:v>
      </x:c>
      <x:c r="G14" s="4" t="str">
        <x:v>Chốt nguồn tồn, reservation, transfer và kiểm thử PostgreSQL</x:v>
      </x:c>
      <x:c r="H14" s="4" t="str">
        <x:v>PHASE_1_HANDOFF.md | 2026-10-06 | HEAD 16f70f6 | L35; L37; L137-L145</x:v>
      </x:c>
    </x:row>
    <x:row r="15" ht="86" customHeight="1">
      <x:c r="A15" s="4" t="n">
        <x:v>4</x:v>
      </x:c>
      <x:c r="B15" s="4" t="str">
        <x:v>Quản lý nhiệm vụ và đặt dịch vụ UAV</x:v>
      </x:c>
      <x:c r="C15" s="4" t="str">
        <x:v>ĐANG TRIỂN KHAI</x:v>
      </x:c>
      <x:c r="D15" s="4" t="str">
        <x:v>CÓ MỘT PHẦN</x:v>
      </x:c>
      <x:c r="E15" s="4" t="str">
        <x:v>Code Phase 2 và nhiều bộ test đã tồn tại</x:v>
      </x:c>
      <x:c r="F15" s="4" t="str">
        <x:v>Cần nghiệm thu ownership, lịch, resource, completion/return</x:v>
      </x:c>
      <x:c r="G15" s="4" t="str">
        <x:v>Review và hoàn thiện Mission hiện có, không xây lại</x:v>
      </x:c>
      <x:c r="H15" s="4" t="str">
        <x:v>PHASE_1_HANDOFF.md | 2026-10-06 | HEAD 16f70f6 | L45; L219-L225</x:v>
      </x:c>
    </x:row>
    <x:row r="16" ht="86" customHeight="1">
      <x:c r="A16" s="4" t="n">
        <x:v>5</x:v>
      </x:c>
      <x:c r="B16" s="4" t="str">
        <x:v>Tìm kiếm và cứu nạn</x:v>
      </x:c>
      <x:c r="C16" s="4" t="str">
        <x:v>ĐANG TRIỂN KHAI</x:v>
      </x:c>
      <x:c r="D16" s="4" t="str">
        <x:v>CHƯA XÁC MINH</x:v>
      </x:c>
      <x:c r="E16" s="4" t="str">
        <x:v>Ngoài phạm vi handoff Phase 1</x:v>
      </x:c>
      <x:c r="F16" s="4" t="str">
        <x:v>Không có báo cáo nghiệm thu riêng; không kết luận chắc chắn repo không có code</x:v>
      </x:c>
      <x:c r="G16" s="4" t="str">
        <x:v>Audit module; triển khai sau nền Mission và AI phù hợp</x:v>
      </x:c>
      <x:c r="H16" s="4" t="str">
        <x:v>PHASE_1_HANDOFF.md | 2026-10-06 | HEAD 16f70f6 | L41</x:v>
      </x:c>
    </x:row>
    <x:row r="17" ht="86" customHeight="1">
      <x:c r="A17" s="4" t="n">
        <x:v>6</x:v>
      </x:c>
      <x:c r="B17" s="4" t="str">
        <x:v>AI và nhận diện người</x:v>
      </x:c>
      <x:c r="C17" s="4" t="str">
        <x:v>ĐANG TRIỂN KHAI</x:v>
      </x:c>
      <x:c r="D17" s="4" t="str">
        <x:v>CHƯA XÁC MINH</x:v>
      </x:c>
      <x:c r="E17" s="4" t="str">
        <x:v>Ngoài phạm vi handoff Phase 1</x:v>
      </x:c>
      <x:c r="F17" s="4" t="str">
        <x:v>Chưa có bằng chứng job/worker/YOLOv8s/cloud/KV260 chạy thực</x:v>
      </x:c>
      <x:c r="G17" s="4" t="str">
        <x:v>Audit; làm cloud/local end-to-end trước, edge xác minh riêng</x:v>
      </x:c>
      <x:c r="H17" s="4" t="str">
        <x:v>PHASE_1_HANDOFF.md | 2026-10-06 | HEAD 16f70f6 | L41</x:v>
      </x:c>
    </x:row>
    <x:row r="18" ht="86" customHeight="1">
      <x:c r="A18" s="4" t="n">
        <x:v>7</x:v>
      </x:c>
      <x:c r="B18" s="4" t="str">
        <x:v>Quản lý hình ảnh và video</x:v>
      </x:c>
      <x:c r="C18" s="4" t="str">
        <x:v>ĐANG TRIỂN KHAI</x:v>
      </x:c>
      <x:c r="D18" s="4" t="str">
        <x:v>CÓ MỘT PHẦN</x:v>
      </x:c>
      <x:c r="E18" s="4" t="str">
        <x:v>Metadata, URL ký và test chữ ký</x:v>
      </x:c>
      <x:c r="F18" s="4" t="str">
        <x:v>Thiếu confirm/delete/resource ownership và UI tương ứng</x:v>
      </x:c>
      <x:c r="G18" s="4" t="str">
        <x:v>Ưu tiên quyền file, lifecycle upload và storage integration</x:v>
      </x:c>
      <x:c r="H18" s="4" t="str">
        <x:v>PHASE_1_HANDOFF.md | 2026-10-06 | HEAD 16f70f6 | L38; L92-L97; L172</x:v>
      </x:c>
    </x:row>
    <x:row r="19" ht="86" customHeight="1">
      <x:c r="A19" s="4" t="n">
        <x:v>8</x:v>
      </x:c>
      <x:c r="B19" s="4" t="str">
        <x:v>Thanh toán và quyền sử dụng dịch vụ</x:v>
      </x:c>
      <x:c r="C19" s="4" t="str">
        <x:v>ĐANG TRIỂN KHAI</x:v>
      </x:c>
      <x:c r="D19" s="4" t="str">
        <x:v>CHƯA XÁC MINH</x:v>
      </x:c>
      <x:c r="E19" s="4" t="str">
        <x:v>Ngoài phạm vi handoff Phase 1</x:v>
      </x:c>
      <x:c r="F19" s="4" t="str">
        <x:v>Chưa có nghiệm thu gói/đơn/webhook/entitlement/quota</x:v>
      </x:c>
      <x:c r="G19" s="4" t="str">
        <x:v>Audit; chốt quyền dịch vụ/quota tách permission, test sandbox</x:v>
      </x:c>
      <x:c r="H19" s="4" t="str">
        <x:v>PHASE_1_HANDOFF.md | 2026-10-06 | HEAD 16f70f6 | L41</x:v>
      </x:c>
    </x:row>
    <x:row r="20" ht="86" customHeight="1">
      <x:c r="A20" s="4" t="n">
        <x:v>9</x:v>
      </x:c>
      <x:c r="B20" s="4" t="str">
        <x:v>Đào tạo trực tuyến UAV</x:v>
      </x:c>
      <x:c r="C20" s="4" t="str">
        <x:v>TẠM HOÃN</x:v>
      </x:c>
      <x:c r="D20" s="4" t="str">
        <x:v>TẠM HOÃN</x:v>
      </x:c>
      <x:c r="E20" s="4" t="str">
        <x:v>Đã được người dùng loại khỏi scope hiện tại</x:v>
      </x:c>
      <x:c r="F20" s="4" t="str">
        <x:v>Không tính là lỗi hoặc backlog bắt buộc hiện tại</x:v>
      </x:c>
      <x:c r="G20" s="4" t="str">
        <x:v>Không xây menu/quyền chức năng giả</x:v>
      </x:c>
      <x:c r="H20" s="4" t="str">
        <x:v>PHASE_1_HANDOFF.md | 2026-10-06 | HEAD 16f70f6 | L41 + quyết định người dùng</x:v>
      </x:c>
    </x:row>
    <x:row r="21" ht="86" customHeight="1">
      <x:c r="A21" s="4" t="n">
        <x:v>10</x:v>
      </x:c>
      <x:c r="B21" s="4" t="str">
        <x:v>Kiểm tra và chứng nhận năng lực</x:v>
      </x:c>
      <x:c r="C21" s="4" t="str">
        <x:v>TẠM HOÃN</x:v>
      </x:c>
      <x:c r="D21" s="4" t="str">
        <x:v>TẠM HOÃN</x:v>
      </x:c>
      <x:c r="E21" s="4" t="str">
        <x:v>Đã được người dùng loại khỏi scope hiện tại</x:v>
      </x:c>
      <x:c r="F21" s="4" t="str">
        <x:v>Không tính vào nghiệm thu 10 nhánh đang triển khai</x:v>
      </x:c>
      <x:c r="G21" s="4" t="str">
        <x:v>Giữ ở future backlog</x:v>
      </x:c>
      <x:c r="H21" s="4" t="str">
        <x:v>PHASE_1_HANDOFF.md | 2026-10-06 | HEAD 16f70f6 | L41 + quyết định người dùng</x:v>
      </x:c>
    </x:row>
    <x:row r="22" ht="86" customHeight="1">
      <x:c r="A22" s="4" t="n">
        <x:v>11</x:v>
      </x:c>
      <x:c r="B22" s="4" t="str">
        <x:v>Thông báo và nhật ký hệ thống</x:v>
      </x:c>
      <x:c r="C22" s="4" t="str">
        <x:v>ĐANG TRIỂN KHAI</x:v>
      </x:c>
      <x:c r="D22" s="4" t="str">
        <x:v>CÓ MỘT PHẦN</x:v>
      </x:c>
      <x:c r="E22" s="4" t="str">
        <x:v>Audit API, UI tab và một số unit evidence</x:v>
      </x:c>
      <x:c r="F22" s="4" t="str">
        <x:v>Notification chưa xác minh; audit xuyên module và bảo vệ lịch sử chưa nghiệm thu</x:v>
      </x:c>
      <x:c r="G22" s="4" t="str">
        <x:v>Hoàn thiện audit; xây notification theo sự kiện khi được duyệt</x:v>
      </x:c>
      <x:c r="H22" s="4" t="str">
        <x:v>PHASE_1_HANDOFF.md | 2026-10-06 | HEAD 16f70f6 | L40; L103; L197</x:v>
      </x:c>
    </x:row>
    <x:row r="23" ht="86" customHeight="1">
      <x:c r="A23" s="4" t="n">
        <x:v>12</x:v>
      </x:c>
      <x:c r="B23" s="4" t="str">
        <x:v>Quản trị và báo cáo hệ thống</x:v>
      </x:c>
      <x:c r="C23" s="4" t="str">
        <x:v>ĐANG TRIỂN KHAI</x:v>
      </x:c>
      <x:c r="D23" s="4" t="str">
        <x:v>CÓ MỘT PHẦN</x:v>
      </x:c>
      <x:c r="E23" s="4" t="str">
        <x:v>Dashboard basic và mission metrics có code/test tập trung</x:v>
      </x:c>
      <x:c r="F23" s="4" t="str">
        <x:v>Báo cáo nâng cao, export, cấu hình chưa xác minh; E2E chưa có</x:v>
      </x:c>
      <x:c r="G23" s="4" t="str">
        <x:v>Hoàn thiện bảng thực, scope dữ liệu, số liệu và cấu hình cần dùng</x:v>
      </x:c>
      <x:c r="H23" s="4" t="str">
        <x:v>PHASE_1_HANDOFF.md | 2026-10-06 | HEAD 16f70f6 | L39; L101-L105; L183-L186</x:v>
      </x:c>
    </x:row>
    <x:row r="24" ht="64" customHeight="1">
      <x:c r="A24" s="4"/>
      <x:c r="B24" s="4"/>
      <x:c r="C24" s="4"/>
      <x:c r="D24" s="4"/>
      <x:c r="E24" s="4"/>
      <x:c r="F24" s="4"/>
      <x:c r="G24" s="4"/>
      <x:c r="H24" s="4"/>
    </x:row>
    <x:row r="25" ht="32" customHeight="1">
      <x:c r="A25" s="16" t="str">
        <x:v>PHÂN BỐ TRẠNG THÁI CHECKLIST — KHÔNG PHẢI % TIẾN ĐỘ</x:v>
      </x:c>
      <x:c r="B25" s="16"/>
      <x:c r="C25" s="16"/>
      <x:c r="D25" s="16"/>
      <x:c r="E25" s="16"/>
      <x:c r="F25" s="16"/>
      <x:c r="G25" s="16"/>
      <x:c r="H25" s="16"/>
    </x:row>
    <x:row r="26" ht="8" customHeight="1">
      <x:c r="A26" s="4"/>
      <x:c r="B26" s="4"/>
      <x:c r="C26" s="4"/>
      <x:c r="D26" s="4"/>
      <x:c r="E26" s="4"/>
      <x:c r="F26" s="4"/>
      <x:c r="G26" s="4"/>
      <x:c r="H26" s="4"/>
    </x:row>
    <x:row r="27" ht="28" customHeight="1">
      <x:c r="A27" s="4" t="str">
        <x:v>Có kiểm thử trong phạm vi hẹp</x:v>
      </x:c>
      <x:c r="B27" s="4"/>
      <x:c r="C27" s="4"/>
      <x:c r="D27" s="4"/>
      <x:c r="E27" s="4" t="n">
        <x:f>COUNTIF('Chuc nang'!$D$7:$D$82,"CO_TEST_PHAM_VI_HEP")</x:f>
        <x:v>8</x:v>
      </x:c>
      <x:c r="F27" s="4" t="str">
        <x:v>CO_TEST_PHAM_VI_HEP</x:v>
      </x:c>
      <x:c r="G27" s="4"/>
      <x:c r="H27" s="4"/>
    </x:row>
    <x:row r="28" ht="28" customHeight="1">
      <x:c r="A28" s="4" t="str">
        <x:v>Đã có một phần code/API/UI</x:v>
      </x:c>
      <x:c r="B28" s="4"/>
      <x:c r="C28" s="4"/>
      <x:c r="D28" s="4"/>
      <x:c r="E28" s="4" t="n">
        <x:f>COUNTIF('Chuc nang'!$D$7:$D$82,"CO_MOT_PHAN")</x:f>
        <x:v>26</x:v>
      </x:c>
      <x:c r="F28" s="4" t="str">
        <x:v>CO_MOT_PHAN</x:v>
      </x:c>
      <x:c r="G28" s="4"/>
      <x:c r="H28" s="4"/>
    </x:row>
    <x:row r="29" ht="28" customHeight="1">
      <x:c r="A29" s="4" t="str">
        <x:v>Báo cáo xác nhận còn thiếu</x:v>
      </x:c>
      <x:c r="B29" s="4"/>
      <x:c r="C29" s="4"/>
      <x:c r="D29" s="4"/>
      <x:c r="E29" s="4" t="n">
        <x:f>COUNTIF('Chuc nang'!$D$7:$D$82,"CHUA_TRIEN_KHAI_THEO_BC")</x:f>
        <x:v>11</x:v>
      </x:c>
      <x:c r="F29" s="4" t="str">
        <x:v>CHUA_TRIEN_KHAI_THEO_BC</x:v>
      </x:c>
      <x:c r="G29" s="4"/>
      <x:c r="H29" s="4"/>
    </x:row>
    <x:row r="30" ht="28" customHeight="1">
      <x:c r="A30" s="4" t="str">
        <x:v>Nguồn chưa đủ để kết luận</x:v>
      </x:c>
      <x:c r="B30" s="4"/>
      <x:c r="C30" s="4"/>
      <x:c r="D30" s="4"/>
      <x:c r="E30" s="4" t="n">
        <x:f>COUNTIF('Chuc nang'!$D$7:$D$82,"CHUA_XAC_MINH")</x:f>
        <x:v>29</x:v>
      </x:c>
      <x:c r="F30" s="4" t="str">
        <x:v>CHUA_XAC_MINH</x:v>
      </x:c>
      <x:c r="G30" s="4"/>
      <x:c r="H30" s="4"/>
    </x:row>
    <x:row r="31" ht="28" customHeight="1">
      <x:c r="A31" s="4" t="str">
        <x:v>Chủ động tạm hoãn</x:v>
      </x:c>
      <x:c r="B31" s="4"/>
      <x:c r="C31" s="4"/>
      <x:c r="D31" s="4"/>
      <x:c r="E31" s="4" t="n">
        <x:f>COUNTIF('Chuc nang'!$D$7:$D$82,"TAM_HOAN")</x:f>
        <x:v>2</x:v>
      </x:c>
      <x:c r="F31" s="4" t="str">
        <x:v>TAM_HOAN</x:v>
      </x:c>
      <x:c r="G31" s="4"/>
      <x:c r="H31" s="4"/>
    </x:row>
    <x:row r="32" ht="64" customHeight="1">
      <x:c r="A32" s="4"/>
      <x:c r="B32" s="4"/>
      <x:c r="C32" s="4"/>
      <x:c r="D32" s="4"/>
      <x:c r="E32" s="4"/>
      <x:c r="F32" s="4"/>
      <x:c r="G32" s="4"/>
      <x:c r="H32" s="4"/>
    </x:row>
    <x:row r="33" ht="22" customHeight="1">
      <x:c r="A33" s="13" t="str">
        <x:v>Cách dùng: lọc sheet Chuc nang theo module/trạng thái lịch sử hoặc trạng thái mới ở cột J. Giữ cột D/G làm lịch sử; cột J/K là cập nhật tại HEAD 6ecc851. Chỉ dùng VERIFIED khi bằng chứng tương ứng đã được nêu rõ.</x:v>
      </x:c>
      <x:c r="B33" s="13"/>
      <x:c r="C33" s="13"/>
      <x:c r="D33" s="13"/>
      <x:c r="E33" s="13"/>
      <x:c r="F33" s="13"/>
      <x:c r="G33" s="13"/>
      <x:c r="H33" s="13"/>
    </x:row>
    <x:row r="34" ht="22" customHeight="1">
      <x:c r="A34" s="13"/>
      <x:c r="B34" s="13"/>
      <x:c r="C34" s="13"/>
      <x:c r="D34" s="13"/>
      <x:c r="E34" s="13"/>
      <x:c r="F34" s="13"/>
      <x:c r="G34" s="13"/>
      <x:c r="H34" s="13"/>
    </x:row>
    <x:row r="35" ht="22" customHeight="1">
      <x:c r="A35" s="13"/>
      <x:c r="B35" s="13"/>
      <x:c r="C35" s="13"/>
      <x:c r="D35" s="13"/>
      <x:c r="E35" s="13"/>
      <x:c r="F35" s="13"/>
      <x:c r="G35" s="13"/>
      <x:c r="H35" s="13"/>
    </x:row>
    <x:row r="36" ht="64" customHeight="1">
      <x:c r="A36" s="4"/>
      <x:c r="B36" s="4"/>
      <x:c r="C36" s="4"/>
      <x:c r="D36" s="4"/>
      <x:c r="E36" s="4"/>
      <x:c r="F36" s="4"/>
      <x:c r="G36" s="4"/>
      <x:c r="H36" s="4"/>
    </x:row>
    <x:row r="37" ht="64" customHeight="1">
      <x:c r="A37" s="4"/>
      <x:c r="B37" s="4"/>
      <x:c r="C37" s="4"/>
      <x:c r="D37" s="4"/>
      <x:c r="E37" s="4"/>
      <x:c r="F37" s="4"/>
      <x:c r="G37" s="4"/>
      <x:c r="H37" s="4"/>
    </x:row>
    <x:row r="38" ht="64" customHeight="1">
      <x:c r="A38" s="4"/>
      <x:c r="B38" s="4"/>
      <x:c r="C38" s="4"/>
      <x:c r="D38" s="4"/>
      <x:c r="E38" s="4"/>
      <x:c r="F38" s="4"/>
      <x:c r="G38" s="4"/>
      <x:c r="H38" s="4"/>
    </x:row>
  </x:sheetData>
  <x:mergeCells>
    <x:mergeCell ref="A1:H1"/>
    <x:mergeCell ref="A2:H3"/>
    <x:mergeCell ref="A5:B5"/>
    <x:mergeCell ref="A6:B7"/>
    <x:mergeCell ref="C5:D5"/>
    <x:mergeCell ref="C6:D7"/>
    <x:mergeCell ref="E5:F5"/>
    <x:mergeCell ref="E6:F7"/>
    <x:mergeCell ref="G5:H5"/>
    <x:mergeCell ref="G6:H7"/>
    <x:mergeCell ref="A9:H9"/>
    <x:mergeCell ref="A25:H25"/>
    <x:mergeCell ref="A27:D27"/>
    <x:mergeCell ref="F27:H27"/>
    <x:mergeCell ref="A28:D28"/>
    <x:mergeCell ref="F28:H28"/>
    <x:mergeCell ref="A29:D29"/>
    <x:mergeCell ref="F29:H29"/>
    <x:mergeCell ref="A30:D30"/>
    <x:mergeCell ref="F30:H30"/>
    <x:mergeCell ref="A31:D31"/>
    <x:mergeCell ref="F31:H31"/>
    <x:mergeCell ref="A33:H35"/>
  </x:mergeCells>
  <x:pageMargins left="0.7" right="0.7" top="0.75" bottom="0.75" header="0.3" footer="0.3"/>
  <x:tableParts count="1">
    <x:tablePart xmlns:r="http://schemas.openxmlformats.org/officeDocument/2006/relationships" r:id="Rfea49b9c9d874b02"/>
  </x:tableParts>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37" hidden="0" customWidth="1"/>
    <x:col min="4" max="4" width="27" hidden="0" customWidth="1"/>
    <x:col min="5" max="5" width="40" hidden="0" customWidth="1"/>
    <x:col min="6" max="6" width="40" hidden="0" customWidth="1"/>
    <x:col min="7" max="7" width="35" hidden="0" customWidth="1"/>
    <x:col min="8" max="8" width="10" hidden="0" customWidth="1"/>
    <x:col min="9" max="9" width="40" hidden="0" customWidth="1"/>
    <x:col min="10" max="10" width="25" hidden="0" customWidth="1"/>
    <x:col min="11" max="11" width="38" hidden="0" customWidth="1"/>
  </x:cols>
  <x:sheetData>
    <x:row r="1" ht="34" customHeight="1">
      <x:c r="A1" s="9" t="str">
        <x:v>UAV PAS | CHECKLIST CHỨC NĂNG VÀ NGHIỆM THU</x:v>
      </x:c>
      <x:c r="B1" s="9"/>
      <x:c r="C1" s="9"/>
      <x:c r="D1" s="9"/>
      <x:c r="E1" s="9"/>
      <x:c r="F1" s="9"/>
      <x:c r="G1" s="9"/>
      <x:c r="H1" s="9"/>
      <x:c r="I1" s="9"/>
      <x:c r="J1" s="9"/>
      <x:c r="K1" s="9"/>
    </x:row>
    <x:row r="2" ht="19" customHeight="1">
      <x:c r="A2" s="13" t="str">
        <x:v>Trạng thái cột D là theo báo cáo 06/10/2026, HEAD 16f70f6 — không phải kiểm tra source mới. Cột F/I là đề xuất hoàn thiện. Chỉ cập nhật cột J/K khi có bằng chứng mới; không sửa nguồn lịch sử. CO_TEST_PHAM_VI_HEP không đồng nghĩa hoàn tất giao diện hoặc môi trường production.</x:v>
      </x:c>
      <x:c r="B2" s="13"/>
      <x:c r="C2" s="13"/>
      <x:c r="D2" s="13"/>
      <x:c r="E2" s="13"/>
      <x:c r="F2" s="13"/>
      <x:c r="G2" s="13"/>
      <x:c r="H2" s="13"/>
      <x:c r="I2" s="13"/>
      <x:c r="J2" s="13"/>
      <x:c r="K2" s="13"/>
    </x:row>
    <x:row r="3" ht="19" customHeight="1">
      <x:c r="A3" s="13"/>
      <x:c r="B3" s="13"/>
      <x:c r="C3" s="13"/>
      <x:c r="D3" s="13"/>
      <x:c r="E3" s="13"/>
      <x:c r="F3" s="13"/>
      <x:c r="G3" s="13"/>
      <x:c r="H3" s="13"/>
      <x:c r="I3" s="13"/>
      <x:c r="J3" s="13"/>
      <x:c r="K3" s="13"/>
    </x:row>
    <x:row r="4" ht="19" customHeight="1">
      <x:c r="A4" s="13"/>
      <x:c r="B4" s="13"/>
      <x:c r="C4" s="13"/>
      <x:c r="D4" s="13"/>
      <x:c r="E4" s="13"/>
      <x:c r="F4" s="13"/>
      <x:c r="G4" s="13"/>
      <x:c r="H4" s="13"/>
      <x:c r="I4" s="13"/>
      <x:c r="J4" s="13"/>
      <x:c r="K4" s="13"/>
    </x:row>
    <x:row r="5" ht="8" customHeight="1">
      <x:c r="A5" s="4"/>
      <x:c r="B5" s="4"/>
      <x:c r="C5" s="4"/>
      <x:c r="D5" s="4"/>
      <x:c r="E5" s="4"/>
      <x:c r="F5" s="4"/>
      <x:c r="G5" s="4"/>
      <x:c r="H5" s="4"/>
      <x:c r="I5" s="4"/>
      <x:c r="J5" s="4"/>
      <x:c r="K5" s="4"/>
    </x:row>
    <x:row r="6" ht="32" customHeight="1">
      <x:c r="A6" s="16" t="str">
        <x:v>ID</x:v>
      </x:c>
      <x:c r="B6" s="16" t="str">
        <x:v>Nhánh</x:v>
      </x:c>
      <x:c r="C6" s="16" t="str">
        <x:v>Chức năng</x:v>
      </x:c>
      <x:c r="D6" s="16" t="str">
        <x:v>Trạng thái theo nguồn</x:v>
      </x:c>
      <x:c r="E6" s="16" t="str">
        <x:v>Bằng chứng/phạm vi hiện có</x:v>
      </x:c>
      <x:c r="F6" s="16" t="str">
        <x:v>Cần hoàn thiện — đề xuất</x:v>
      </x:c>
      <x:c r="G6" s="16" t="str">
        <x:v>Nguồn</x:v>
      </x:c>
      <x:c r="H6" s="16" t="str">
        <x:v>Ưu tiên</x:v>
      </x:c>
      <x:c r="I6" s="16" t="str">
        <x:v>Điều kiện kiểm tra — đề xuất</x:v>
      </x:c>
      <x:c r="J6" s="16" t="str">
        <x:v>Cập nhật mới</x:v>
      </x:c>
      <x:c r="K6" s="16" t="str">
        <x:v>Bằng chứng mới / ghi chú</x:v>
      </x:c>
    </x:row>
    <x:row r="7" ht="64" customHeight="1">
      <x:c r="A7" s="4" t="str">
        <x:v>AUTH-01</x:v>
      </x:c>
      <x:c r="B7" s="4" t="str">
        <x:v>01. Người dùng và phân quyền</x:v>
      </x:c>
      <x:c r="C7" s="4" t="str">
        <x:v>Đăng ký, đăng nhập, JWT, /auth/me</x:v>
      </x:c>
      <x:c r="D7" s="18" t="str">
        <x:v>CO_MOT_PHAN</x:v>
      </x:c>
      <x:c r="E7" s="4" t="str">
        <x:v>Có endpoint và luồng xác thực; kiểm thử Access xác minh một số hành vi liên quan.</x:v>
      </x:c>
      <x:c r="F7" s="4" t="str">
        <x:v>Nghiệm thu form, validation, lỗi và phiên đăng nhập trên backend thực.</x:v>
      </x:c>
      <x:c r="G7" s="4" t="str">
        <x:v>PHASE_1_HANDOFF.md | 2026-10-06 | HEAD 16f70f6 | L34; L53-L58; L149</x:v>
      </x:c>
      <x:c r="H7" s="4" t="str">
        <x:v>P1</x:v>
      </x:c>
      <x:c r="I7" s="4" t="str">
        <x:v>Luồng đăng ký → đăng nhập → hồ sơ chạy trên PostgreSQL; ghi kết quả riêng từng ca.</x:v>
      </x:c>
      <x:c r="J7" s="20" t="str">
        <x:v>PARTIAL</x:v>
      </x:c>
      <x:c r="K7" s="20" t="str">
        <x:v>HEAD 6ecc851; auth controller/service tests pass, nhưng register/browser user-flow evidence chưa đầy đủ. Evidence: docs/handoff/final/FINAL_INTEGRATION_HANDOFF.md; docs/handoff/final/BACKEND_BUSINESS_VERIFICATION.md; sync DOC_SYNC_2026-10-07_6ecc851.</x:v>
      </x:c>
    </x:row>
    <x:row r="8" ht="64" customHeight="1">
      <x:c r="A8" s="4" t="str">
        <x:v>AUTH-02</x:v>
      </x:c>
      <x:c r="B8" s="4" t="str">
        <x:v>01. Người dùng và phân quyền</x:v>
      </x:c>
      <x:c r="C8" s="4" t="str">
        <x:v>Refresh token và đăng xuất</x:v>
      </x:c>
      <x:c r="D8" s="18" t="str">
        <x:v>CO_MOT_PHAN</x:v>
      </x:c>
      <x:c r="E8" s="4" t="str">
        <x:v>Có rotation, invalidated token và logout; báo cáo có điều kiện khi service được cấu hình.</x:v>
      </x:c>
      <x:c r="F8" s="4" t="str">
        <x:v>Kiểm tra rotation, token đã thu hồi, refresh lỗi và dọn dữ liệu phiên.</x:v>
      </x:c>
      <x:c r="G8" s="4" t="str">
        <x:v>PHASE_1_HANDOFF.md | 2026-10-06 | HEAD 16f70f6 | L54-L58; L149; L170</x:v>
      </x:c>
      <x:c r="H8" s="4" t="str">
        <x:v>P0</x:v>
      </x:c>
      <x:c r="I8" s="4" t="str">
        <x:v>Token cũ bị từ chối đúng chính sách; logout không lộ cache phiên trước.</x:v>
      </x:c>
      <x:c r="J8" s="20" t="str">
        <x:v>VERIFIED</x:v>
      </x:c>
      <x:c r="K8" s="20" t="str">
        <x:v>HEAD 6ecc851; refresh/logout/expiry/invalidation covered by Auth/RefreshToken tests; deployed flow chưa kiểm tra. Evidence: docs/handoff/final/FINAL_INTEGRATION_HANDOFF.md; docs/handoff/final/BACKEND_BUSINESS_VERIFICATION.md; sync DOC_SYNC_2026-10-07_6ecc851.</x:v>
      </x:c>
    </x:row>
    <x:row r="9" ht="64" customHeight="1">
      <x:c r="A9" s="4" t="str">
        <x:v>AUTH-03</x:v>
      </x:c>
      <x:c r="B9" s="4" t="str">
        <x:v>01. Người dùng và phân quyền</x:v>
      </x:c>
      <x:c r="C9" s="4" t="str">
        <x:v>Khóa/mở tài khoản, từ chối JWT đang dùng</x:v>
      </x:c>
      <x:c r="D9" s="18" t="str">
        <x:v>CO_TEST_PHAM_VI_HEP</x:v>
      </x:c>
      <x:c r="E9" s="4" t="str">
        <x:v>Phase1AccessIntegrationTest kiểm tra khóa, JWT hiện có bị từ chối và khôi phục đăng nhập.</x:v>
      </x:c>
      <x:c r="F9" s="4" t="str">
        <x:v>Giữ test hiện có; bổ sung xác nhận trên môi trường triển khai.</x:v>
      </x:c>
      <x:c r="G9" s="4" t="str">
        <x:v>PHASE_1_HANDOFF.md | 2026-10-06 | HEAD 16f70f6 | L190-L191</x:v>
      </x:c>
      <x:c r="H9" s="4" t="str">
        <x:v>P0</x:v>
      </x:c>
      <x:c r="I9" s="4" t="str">
        <x:v>Không hồi quy bài kiểm thử khóa tài khoản; kết quả môi trường thực được ghi riêng.</x:v>
      </x:c>
      <x:c r="J9" s="20" t="str">
        <x:v>VERIFIED</x:v>
      </x:c>
      <x:c r="K9" s="20" t="str">
        <x:v>HEAD 6ecc851; Phase1AccessIntegrationTest + AccessRecoveryTest + PostgreSQL recovery case pass. Evidence: docs/handoff/final/FINAL_INTEGRATION_HANDOFF.md; docs/handoff/final/BACKEND_BUSINESS_VERIFICATION.md; sync DOC_SYNC_2026-10-07_6ecc851.</x:v>
      </x:c>
    </x:row>
    <x:row r="10" ht="64" customHeight="1">
      <x:c r="A10" s="4" t="str">
        <x:v>USER-01</x:v>
      </x:c>
      <x:c r="B10" s="4" t="str">
        <x:v>01. Người dùng và phân quyền</x:v>
      </x:c>
      <x:c r="C10" s="4" t="str">
        <x:v>Danh sách, chi tiết và thay đổi role tài khoản</x:v>
      </x:c>
      <x:c r="D10" s="18" t="str">
        <x:v>CO_MOT_PHAN</x:v>
      </x:c>
      <x:c r="E10" s="4" t="str">
        <x:v>Có API USER_READ/USER_MANAGE; UI quản trị đầy đủ chưa được chứng minh.</x:v>
      </x:c>
      <x:c r="F10" s="4" t="str">
        <x:v>Hoàn thiện danh sách, chi tiết, thao tác tài khoản và kiểm thử giao diện.</x:v>
      </x:c>
      <x:c r="G10" s="4" t="str">
        <x:v>PHASE_1_HANDOFF.md | 2026-10-06 | HEAD 16f70f6 | L34; L62-L67; L161-L172</x:v>
      </x:c>
      <x:c r="H10" s="4" t="str">
        <x:v>P1</x:v>
      </x:c>
      <x:c r="I10" s="4" t="str">
        <x:v>Xem/sửa đúng dữ liệu và quyền; không đánh dấu xong chỉ vì endpoint tồn tại.</x:v>
      </x:c>
      <x:c r="J10" s="20" t="str">
        <x:v>PARTIAL</x:v>
      </x:c>
      <x:c r="K10" s="20" t="str">
        <x:v>Backend endpoints exist and are tested in scope; no standalone /users browser lifecycle evidence. Evidence: docs/handoff/final/FINAL_INTEGRATION_HANDOFF.md; docs/handoff/final/BACKEND_BUSINESS_VERIFICATION.md; sync DOC_SYNC_2026-10-07_6ecc851.</x:v>
      </x:c>
    </x:row>
    <x:row r="11" ht="64" customHeight="1">
      <x:c r="A11" s="4" t="str">
        <x:v>USER-02</x:v>
      </x:c>
      <x:c r="B11" s="4" t="str">
        <x:v>01. Người dùng và phân quyền</x:v>
      </x:c>
      <x:c r="C11" s="4" t="str">
        <x:v>Tạo tài khoản bởi quản trị viên, sửa hồ sơ</x:v>
      </x:c>
      <x:c r="D11" s="18" t="str">
        <x:v>CHUA_XAC_MINH</x:v>
      </x:c>
      <x:c r="E11" s="4" t="str">
        <x:v>Không đủ mô tả endpoint và bằng chứng nghiệm thu cho hai chức năng này.</x:v>
      </x:c>
      <x:c r="F11" s="4" t="str">
        <x:v>Đối chiếu source hiện tại và bổ sung đúng chức năng đã được duyệt.</x:v>
      </x:c>
      <x:c r="G11" s="4" t="str">
        <x:v>PHASE_1_HANDOFF.md | 2026-10-06 | HEAD 16f70f6 | L53-L67; L161-L172</x:v>
      </x:c>
      <x:c r="H11" s="4" t="str">
        <x:v>P1</x:v>
      </x:c>
      <x:c r="I11" s="4" t="str">
        <x:v>Ghi API và test thực tế, phân biệt tự sửa hồ sơ với quản trị tài khoản.</x:v>
      </x:c>
      <x:c r="J11" s="20" t="str">
        <x:v>IMPLEMENTED_NOT_VERIFIED</x:v>
      </x:c>
      <x:c r="K11" s="20" t="str">
        <x:v>Source exposes user management pieces; no dedicated admin-create/profile acceptance evidence. Evidence: docs/handoff/final/FINAL_INTEGRATION_HANDOFF.md; docs/handoff/final/BACKEND_BUSINESS_VERIFICATION.md; sync DOC_SYNC_2026-10-07_6ecc851.</x:v>
      </x:c>
    </x:row>
    <x:row r="12" ht="64" customHeight="1">
      <x:c r="A12" s="4" t="str">
        <x:v>ACL-01</x:v>
      </x:c>
      <x:c r="B12" s="4" t="str">
        <x:v>01. Người dùng và phân quyền</x:v>
      </x:c>
      <x:c r="C12" s="4" t="str">
        <x:v>Cấp/thu hồi quyền trực tiếp không cần đăng nhập lại</x:v>
      </x:c>
      <x:c r="D12" s="18" t="str">
        <x:v>CO_TEST_PHAM_VI_HEP</x:v>
      </x:c>
      <x:c r="E12" s="4" t="str">
        <x:v>Access integration tests xác minh grant/revoke và override với JWT hiện tại.</x:v>
      </x:c>
      <x:c r="F12" s="4" t="str">
        <x:v>Giữ hành vi backend; kiểm tra UI và cache khi quyền thay đổi.</x:v>
      </x:c>
      <x:c r="G12" s="4" t="str">
        <x:v>PHASE_1_HANDOFF.md | 2026-10-06 | HEAD 16f70f6 | L153; L190-L191</x:v>
      </x:c>
      <x:c r="H12" s="4" t="str">
        <x:v>P0</x:v>
      </x:c>
      <x:c r="I12" s="4" t="str">
        <x:v>Truy cập bị từ chối ngay theo chính sách backend sau revoke; UI đồng bộ quyền.</x:v>
      </x:c>
      <x:c r="J12" s="20" t="str">
        <x:v>VERIFIED</x:v>
      </x:c>
      <x:c r="K12" s="20" t="str">
        <x:v>HEAD 6ecc851; live grant/revoke/reset without relogin covered by Phase1AccessIntegrationTest. Evidence: docs/handoff/final/FINAL_INTEGRATION_HANDOFF.md; docs/handoff/final/BACKEND_BUSINESS_VERIFICATION.md; sync DOC_SYNC_2026-10-07_6ecc851.</x:v>
      </x:c>
    </x:row>
    <x:row r="13" ht="64" customHeight="1">
      <x:c r="A13" s="4" t="str">
        <x:v>ACL-02</x:v>
      </x:c>
      <x:c r="B13" s="4" t="str">
        <x:v>01. Người dùng và phân quyền</x:v>
      </x:c>
      <x:c r="C13" s="4" t="str">
        <x:v>Mẫu quyền và quyền riêng ALLOW/DENY</x:v>
      </x:c>
      <x:c r="D13" s="18" t="str">
        <x:v>CO_MOT_PHAN</x:v>
      </x:c>
      <x:c r="E13" s="4" t="str">
        <x:v>Có role_templates và user_permissions; còn role enum fallback trong code.</x:v>
      </x:c>
      <x:c r="F13" s="4" t="str">
        <x:v>Đối chiếu nguồn quyền và chuyển fallback sang cấu hình có kiểm soát.</x:v>
      </x:c>
      <x:c r="G13" s="4" t="str">
        <x:v>PHASE_1_HANDOFF.md | 2026-10-06 | HEAD 16f70f6 | L125-L127; L153-L155</x:v>
      </x:c>
      <x:c r="H13" s="4" t="str">
        <x:v>P0</x:v>
      </x:c>
      <x:c r="I13" s="4" t="str">
        <x:v>Quyền hiệu lực giải thích được nguồn; chuyển đổi không vô tình mở rộng hoặc mất quyền.</x:v>
      </x:c>
      <x:c r="J13" s="20" t="str">
        <x:v>VERIFIED</x:v>
      </x:c>
      <x:c r="K13" s="20" t="str">
        <x:v>ALLOW/DENY/reset, role templates and precedence are tested; role fallback/broad policy remains a gap. Evidence: docs/handoff/final/FINAL_INTEGRATION_HANDOFF.md; docs/handoff/final/BACKEND_BUSINESS_VERIFICATION.md; sync DOC_SYNC_2026-10-07_6ecc851.</x:v>
      </x:c>
    </x:row>
    <x:row r="14" ht="64" customHeight="1">
      <x:c r="A14" s="4" t="str">
        <x:v>ACL-03</x:v>
      </x:c>
      <x:c r="B14" s="4" t="str">
        <x:v>01. Người dùng và phân quyền</x:v>
      </x:c>
      <x:c r="C14" s="4" t="str">
        <x:v>Dashboard tích quyền cho từng tài khoản</x:v>
      </x:c>
      <x:c r="D14" s="18" t="str">
        <x:v>CHUA_TRIEN_KHAI_THEO_BC</x:v>
      </x:c>
      <x:c r="E14" s="4" t="str">
        <x:v>Báo cáo xác nhận không có giao diện Access Control; chỉnh quyền mới ở backend.</x:v>
      </x:c>
      <x:c r="F14" s="4" t="str">
        <x:v>Xây bảng quyền, chọn tài khoản, xem thay đổi và lưu đúng kết quả API.</x:v>
      </x:c>
      <x:c r="G14" s="4" t="str">
        <x:v>PHASE_1_HANDOFF.md | 2026-10-06 | HEAD 16f70f6 | L34; L172; L205-L206</x:v>
      </x:c>
      <x:c r="H14" s="4" t="str">
        <x:v>P1</x:v>
      </x:c>
      <x:c r="I14" s="4" t="str">
        <x:v>Tích/bỏ quyền có hiệu lực thật; partial failure được báo rõ, không success giả.</x:v>
      </x:c>
      <x:c r="J14" s="20" t="str">
        <x:v>PARTIAL</x:v>
      </x:c>
      <x:c r="K14" s="20" t="str">
        <x:v>Access-control editor and denied state have browser screenshots; complete user matrix UI is unverified. Evidence: docs/handoff/final/FINAL_INTEGRATION_HANDOFF.md; docs/handoff/final/BACKEND_BUSINESS_VERIFICATION.md; sync DOC_SYNC_2026-10-07_6ecc851.</x:v>
      </x:c>
    </x:row>
    <x:row r="15" ht="64" customHeight="1">
      <x:c r="A15" s="4" t="str">
        <x:v>ACL-04</x:v>
      </x:c>
      <x:c r="B15" s="4" t="str">
        <x:v>01. Người dùng và phân quyền</x:v>
      </x:c>
      <x:c r="C15" s="4" t="str">
        <x:v>Tách quyền xem/thêm/sửa/nhập/xuất/điều chuyển</x:v>
      </x:c>
      <x:c r="D15" s="18" t="str">
        <x:v>CO_MOT_PHAN</x:v>
      </x:c>
      <x:c r="E15" s="4" t="str">
        <x:v>Nhiều endpoint hiện dùng READ/MANAGE chung, chưa tách đủ theo thao tác.</x:v>
      </x:c>
      <x:c r="F15" s="4" t="str">
        <x:v>Lập permission migration map; bổ sung quyền riêng được backend thực thi.</x:v>
      </x:c>
      <x:c r="G15" s="4" t="str">
        <x:v>PHASE_1_HANDOFF.md | 2026-10-06 | HEAD 16f70f6 | L62-L86; L92-L103</x:v>
      </x:c>
      <x:c r="H15" s="4" t="str">
        <x:v>P0</x:v>
      </x:c>
      <x:c r="I15" s="4" t="str">
        <x:v>Tài khoản chỉ có quyền nhập kho không thực hiện được xuất hoặc điều chuyển.</x:v>
      </x:c>
      <x:c r="J15" s="20" t="str">
        <x:v>PARTIAL</x:v>
      </x:c>
      <x:c r="K15" s="20" t="str">
        <x:v>Current registry uses broad *_MANAGE codes; action-level stock/UAV/media split is absent. Evidence: docs/handoff/final/FINAL_INTEGRATION_HANDOFF.md; docs/handoff/final/BACKEND_BUSINESS_VERIFICATION.md; sync DOC_SYNC_2026-10-07_6ecc851.</x:v>
      </x:c>
    </x:row>
    <x:row r="16" ht="64" customHeight="1">
      <x:c r="A16" s="4" t="str">
        <x:v>ACL-05</x:v>
      </x:c>
      <x:c r="B16" s="4" t="str">
        <x:v>01. Người dùng và phân quyền</x:v>
      </x:c>
      <x:c r="C16" s="4" t="str">
        <x:v>Quay về mẫu quyền, giới hạn cấp quyền</x:v>
      </x:c>
      <x:c r="D16" s="18" t="str">
        <x:v>CHUA_XAC_MINH</x:v>
      </x:c>
      <x:c r="E16" s="4" t="str">
        <x:v>Có granted=true/false nhưng chưa mô tả API xóa override hay giới hạn delegation chi tiết.</x:v>
      </x:c>
      <x:c r="F16" s="4" t="str">
        <x:v>Kiểm tra source; định nghĩa reset override và phạm vi quyền được phép cấp.</x:v>
      </x:c>
      <x:c r="G16" s="4" t="str">
        <x:v>PHASE_1_HANDOFF.md | 2026-10-06 | HEAD 16f70f6 | L64-L67; L153-L155</x:v>
      </x:c>
      <x:c r="H16" s="4" t="str">
        <x:v>P0</x:v>
      </x:c>
      <x:c r="I16" s="4" t="str">
        <x:v>DENY khác INHERIT; không dùng thay đổi UI để vượt quyền được phép cấp.</x:v>
      </x:c>
      <x:c r="J16" s="20" t="str">
        <x:v>VERIFIED</x:v>
      </x:c>
      <x:c r="K16" s="20" t="str">
        <x:v>DELETE user-permission reset and template/override behavior are documented and tested. Evidence: docs/handoff/final/FINAL_INTEGRATION_HANDOFF.md; docs/handoff/final/BACKEND_BUSINESS_VERIFICATION.md; sync DOC_SYNC_2026-10-07_6ecc851.</x:v>
      </x:c>
    </x:row>
    <x:row r="17" ht="64" customHeight="1">
      <x:c r="A17" s="4" t="str">
        <x:v>ACL-06</x:v>
      </x:c>
      <x:c r="B17" s="4" t="str">
        <x:v>01. Người dùng và phân quyền</x:v>
      </x:c>
      <x:c r="C17" s="4" t="str">
        <x:v>Bảo vệ tài khoản quản lý quyền cuối cùng</x:v>
      </x:c>
      <x:c r="D17" s="18" t="str">
        <x:v>CHUA_TRIEN_KHAI_THEO_BC</x:v>
      </x:c>
      <x:c r="E17" s="4" t="str">
        <x:v>Báo cáo nêu không có invariant riêng ngăn thu hồi hết quyền quản lý truy cập.</x:v>
      </x:c>
      <x:c r="F17" s="4" t="str">
        <x:v>Bổ sung chính sách và kiểm thử chống tự khóa quản trị.</x:v>
      </x:c>
      <x:c r="G17" s="4" t="str">
        <x:v>PHASE_1_HANDOFF.md | 2026-10-06 | HEAD 16f70f6 | L155</x:v>
      </x:c>
      <x:c r="H17" s="4" t="str">
        <x:v>P0</x:v>
      </x:c>
      <x:c r="I17" s="4" t="str">
        <x:v>Không thể vô tình làm mọi tài khoản mất khả năng quản lý quyền.</x:v>
      </x:c>
      <x:c r="J17" s="20" t="str">
        <x:v>VERIFIED</x:v>
      </x:c>
      <x:c r="K17" s="20" t="str">
        <x:v>AccessRecoveryGuard prevents removal of last effective manager; H2 and PostgreSQL evidence pass. Evidence: docs/handoff/final/FINAL_INTEGRATION_HANDOFF.md; docs/handoff/final/BACKEND_BUSINESS_VERIFICATION.md; sync DOC_SYNC_2026-10-07_6ecc851.</x:v>
      </x:c>
    </x:row>
    <x:row r="18" ht="64" customHeight="1">
      <x:c r="A18" s="4" t="str">
        <x:v>ACL-07</x:v>
      </x:c>
      <x:c r="B18" s="4" t="str">
        <x:v>01. Người dùng và phân quyền</x:v>
      </x:c>
      <x:c r="C18" s="4" t="str">
        <x:v>Phạm vi dữ liệu: bản thân/được giao/trạm/toàn hệ thống</x:v>
      </x:c>
      <x:c r="D18" s="18" t="str">
        <x:v>CO_MOT_PHAN</x:v>
      </x:c>
      <x:c r="E18" s="4" t="str">
        <x:v>Có kiểm tra permission; Media thiếu ownership, Mission cần nghiệm thu riêng.</x:v>
      </x:c>
      <x:c r="F18" s="4" t="str">
        <x:v>Ánh xạ scope tới từng API/list/detail/count/download/action.</x:v>
      </x:c>
      <x:c r="G18" s="4" t="str">
        <x:v>PHASE_1_HANDOFF.md | 2026-10-06 | HEAD 16f70f6 | L97; L117; L219-L223</x:v>
      </x:c>
      <x:c r="H18" s="4" t="str">
        <x:v>P0</x:v>
      </x:c>
      <x:c r="I18" s="4" t="str">
        <x:v>Đổi ID hoặc filter không truy cập được tài nguyên ngoài phạm vi.</x:v>
      </x:c>
      <x:c r="J18" s="20" t="str">
        <x:v>PARTIAL</x:v>
      </x:c>
      <x:c r="K18" s="20" t="str">
        <x:v>Mission/media resource scopes exist in source/tests; exhaustive owner/operator/direct-ID matrix is unverified. Evidence: docs/handoff/final/FINAL_INTEGRATION_HANDOFF.md; docs/handoff/final/BACKEND_BUSINESS_VERIFICATION.md; sync DOC_SYNC_2026-10-07_6ecc851.</x:v>
      </x:c>
    </x:row>
    <x:row r="19" ht="64" customHeight="1">
      <x:c r="A19" s="4" t="str">
        <x:v>UAV-01</x:v>
      </x:c>
      <x:c r="B19" s="4" t="str">
        <x:v>02. Đội UAV</x:v>
      </x:c>
      <x:c r="C19" s="4" t="str">
        <x:v>Tạo UAV mặc định AVAILABLE và ghi lịch sử</x:v>
      </x:c>
      <x:c r="D19" s="18" t="str">
        <x:v>CO_TEST_PHAM_VI_HEP</x:v>
      </x:c>
      <x:c r="E19" s="4" t="str">
        <x:v>UavServiceTest kiểm tra trạng thái khởi tạo và status history.</x:v>
      </x:c>
      <x:c r="F19" s="4" t="str">
        <x:v>Giữ test; nghiệm thu API và form trên môi trường thực.</x:v>
      </x:c>
      <x:c r="G19" s="4" t="str">
        <x:v>PHASE_1_HANDOFF.md | 2026-10-06 | HEAD 16f70f6 | L36</x:v>
      </x:c>
      <x:c r="H19" s="4" t="str">
        <x:v>P1</x:v>
      </x:c>
      <x:c r="I19" s="4" t="str">
        <x:v>Trạng thái/lịch sử đúng; test service không thay thế E2E.</x:v>
      </x:c>
      <x:c r="J19" s="20" t="str">
        <x:v>VERIFIED</x:v>
      </x:c>
      <x:c r="K19" s="20" t="str">
        <x:v>UavServiceTest proves AVAILABLE default and status-history write. Evidence: docs/handoff/final/FINAL_INTEGRATION_HANDOFF.md; docs/handoff/final/BACKEND_BUSINESS_VERIFICATION.md; sync DOC_SYNC_2026-10-07_6ecc851.</x:v>
      </x:c>
    </x:row>
    <x:row r="20" ht="64" customHeight="1">
      <x:c r="A20" s="4" t="str">
        <x:v>UAV-02</x:v>
      </x:c>
      <x:c r="B20" s="4" t="str">
        <x:v>02. Đội UAV</x:v>
      </x:c>
      <x:c r="C20" s="4" t="str">
        <x:v>Danh sách, chi tiết, chỉnh sửa, gán trạm</x:v>
      </x:c>
      <x:c r="D20" s="18" t="str">
        <x:v>CO_MOT_PHAN</x:v>
      </x:c>
      <x:c r="E20" s="4" t="str">
        <x:v>Có API; UI create/assign nằm trong /operations; thiếu trang chi tiết.</x:v>
      </x:c>
      <x:c r="F20" s="4" t="str">
        <x:v>Hoàn thiện UI table-first và chi tiết, dùng dữ liệu thật.</x:v>
      </x:c>
      <x:c r="G20" s="4" t="str">
        <x:v>PHASE_1_HANDOFF.md | 2026-10-06 | HEAD 16f70f6 | L36; L78-L81</x:v>
      </x:c>
      <x:c r="H20" s="4" t="str">
        <x:v>P1</x:v>
      </x:c>
      <x:c r="I20" s="4" t="str">
        <x:v>Đi từ bảng tới chi tiết, sửa và cập nhật list/summary đúng.</x:v>
      </x:c>
      <x:c r="J20" s="20" t="str">
        <x:v>PARTIAL</x:v>
      </x:c>
      <x:c r="K20" s="20" t="str">
        <x:v>CRUD/assignment/history source and selected viewer trace exist; full HTTP/UI CRUD remains partial. Evidence: docs/handoff/final/FINAL_INTEGRATION_HANDOFF.md; docs/handoff/final/BACKEND_BUSINESS_VERIFICATION.md; sync DOC_SYNC_2026-10-07_6ecc851.</x:v>
      </x:c>
    </x:row>
    <x:row r="21" ht="64" customHeight="1">
      <x:c r="A21" s="4" t="str">
        <x:v>UAV-03</x:v>
      </x:c>
      <x:c r="B21" s="4" t="str">
        <x:v>02. Đội UAV</x:v>
      </x:c>
      <x:c r="C21" s="4" t="str">
        <x:v>Serial duy nhất</x:v>
      </x:c>
      <x:c r="D21" s="18" t="str">
        <x:v>CO_MOT_PHAN</x:v>
      </x:c>
      <x:c r="E21" s="4" t="str">
        <x:v>Service/entity có kiểm tra; chưa có dedicated duplicate integration test.</x:v>
      </x:c>
      <x:c r="F21" s="4" t="str">
        <x:v>Test trùng serial qua HTTP và database thực.</x:v>
      </x:c>
      <x:c r="G21" s="4" t="str">
        <x:v>PHASE_1_HANDOFF.md | 2026-10-06 | HEAD 16f70f6 | L81; L192</x:v>
      </x:c>
      <x:c r="H21" s="4" t="str">
        <x:v>P0</x:v>
      </x:c>
      <x:c r="I21" s="4" t="str">
        <x:v>Hai request trùng serial không tạo hai UAV; lỗi trả rõ.</x:v>
      </x:c>
      <x:c r="J21" s="20" t="str">
        <x:v>IMPLEMENTED_NOT_VERIFIED</x:v>
      </x:c>
      <x:c r="K21" s="20" t="str">
        <x:v>Unique serial constraint/service guard exists; duplicate-serial HTTP test is absent. Evidence: docs/handoff/final/FINAL_INTEGRATION_HANDOFF.md; docs/handoff/final/BACKEND_BUSINESS_VERIFICATION.md; sync DOC_SYNC_2026-10-07_6ecc851.</x:v>
      </x:c>
    </x:row>
    <x:row r="22" ht="64" customHeight="1">
      <x:c r="A22" s="4" t="str">
        <x:v>UAV-04</x:v>
      </x:c>
      <x:c r="B22" s="4" t="str">
        <x:v>02. Đội UAV</x:v>
      </x:c>
      <x:c r="C22" s="4" t="str">
        <x:v>Bảo trì, trạng thái và lịch sử UAV</x:v>
      </x:c>
      <x:c r="D22" s="18" t="str">
        <x:v>CO_MOT_PHAN</x:v>
      </x:c>
      <x:c r="E22" s="4" t="str">
        <x:v>Có thao tác maintenance và status history; toàn lifecycle chưa được nghiệm thu.</x:v>
      </x:c>
      <x:c r="F22" s="4" t="str">
        <x:v>Đặc tả và kiểm thử bắt đầu/kết thúc bảo trì, điều kiện chuyển trạng thái.</x:v>
      </x:c>
      <x:c r="G22" s="4" t="str">
        <x:v>PHASE_1_HANDOFF.md | 2026-10-06 | HEAD 16f70f6 | L36; L78-L81</x:v>
      </x:c>
      <x:c r="H22" s="4" t="str">
        <x:v>P0</x:v>
      </x:c>
      <x:c r="I22" s="4" t="str">
        <x:v>UAV chưa đủ điều kiện không được chuyển về khả dụng bằng UI hoặc API.</x:v>
      </x:c>
      <x:c r="J22" s="20" t="str">
        <x:v>PARTIAL</x:v>
      </x:c>
      <x:c r="K22" s="20" t="str">
        <x:v>Maintenance/status/history code and selected tests exist; full transition matrix and station-to-mission path unverified. Evidence: docs/handoff/final/FINAL_INTEGRATION_HANDOFF.md; docs/handoff/final/BACKEND_BUSINESS_VERIFICATION.md; sync DOC_SYNC_2026-10-07_6ecc851.</x:v>
      </x:c>
    </x:row>
    <x:row r="23" ht="64" customHeight="1">
      <x:c r="A23" s="4" t="str">
        <x:v>UAV-05</x:v>
      </x:c>
      <x:c r="B23" s="4" t="str">
        <x:v>02. Đội UAV</x:v>
      </x:c>
      <x:c r="C23" s="4" t="str">
        <x:v>Hồ sơ pin, camera, KV260 gắn với UAV</x:v>
      </x:c>
      <x:c r="D23" s="18" t="str">
        <x:v>CO_MOT_PHAN</x:v>
      </x:c>
      <x:c r="E23" s="4" t="str">
        <x:v>Có equipment type và optional serial; chưa chứng minh liên kết/lifecycle thiết bị đầy đủ.</x:v>
      </x:c>
      <x:c r="F23" s="4" t="str">
        <x:v>Dùng nguồn inventory chung; xác minh loại thiết bị và liên kết có thật.</x:v>
      </x:c>
      <x:c r="G23" s="4" t="str">
        <x:v>PHASE_1_HANDOFF.md | 2026-10-06 | HEAD 16f70f6 | L131; L139-L143</x:v>
      </x:c>
      <x:c r="H23" s="4" t="str">
        <x:v>P1</x:v>
      </x:c>
      <x:c r="I23" s="4" t="str">
        <x:v>Một thiết bị có một định danh; không nhân đôi tài sản ở Fleet và Kho.</x:v>
      </x:c>
      <x:c r="J23" s="20" t="str">
        <x:v>IMPLEMENTED_NOT_VERIFIED</x:v>
      </x:c>
      <x:c r="K23" s="20" t="str">
        <x:v>Optional serial equipment linkage exists; complete battery/camera/KV260 lifecycle is not evidenced. Evidence: docs/handoff/final/FINAL_INTEGRATION_HANDOFF.md; docs/handoff/final/BACKEND_BUSINESS_VERIFICATION.md; sync DOC_SYNC_2026-10-07_6ecc851.</x:v>
      </x:c>
    </x:row>
    <x:row r="24" ht="64" customHeight="1">
      <x:c r="A24" s="4" t="str">
        <x:v>ST-01</x:v>
      </x:c>
      <x:c r="B24" s="4" t="str">
        <x:v>03. Trạm và kho thiết bị</x:v>
      </x:c>
      <x:c r="C24" s="4" t="str">
        <x:v>Tạo trạm, từ chối trùng mã ở service</x:v>
      </x:c>
      <x:c r="D24" s="18" t="str">
        <x:v>CO_TEST_PHAM_VI_HEP</x:v>
      </x:c>
      <x:c r="E24" s="4" t="str">
        <x:v>StationServiceTest.duplicateCodeIsRejected và kiểm tra tạo/audit.</x:v>
      </x:c>
      <x:c r="F24" s="4" t="str">
        <x:v>Bổ sung integration PostgreSQL và HTTP.</x:v>
      </x:c>
      <x:c r="G24" s="4" t="str">
        <x:v>PHASE_1_HANDOFF.md | 2026-10-06 | HEAD 16f70f6 | L35; L192</x:v>
      </x:c>
      <x:c r="H24" s="4" t="str">
        <x:v>P1</x:v>
      </x:c>
      <x:c r="I24" s="4" t="str">
        <x:v>Giữ bằng chứng service; riêng E2E có dữ liệu, request và kết quả.</x:v>
      </x:c>
      <x:c r="J24" s="20" t="str">
        <x:v>VERIFIED</x:v>
      </x:c>
      <x:c r="K24" s="20" t="str">
        <x:v>StationServiceTest proves duplicate-code rejection and audit at service level; secured HTTP/DB proof remains partial. Evidence: docs/handoff/final/FINAL_INTEGRATION_HANDOFF.md; docs/handoff/final/BACKEND_BUSINESS_VERIFICATION.md; sync DOC_SYNC_2026-10-07_6ecc851.</x:v>
      </x:c>
    </x:row>
    <x:row r="25" ht="64" customHeight="1">
      <x:c r="A25" s="4" t="str">
        <x:v>ST-02</x:v>
      </x:c>
      <x:c r="B25" s="4" t="str">
        <x:v>03. Trạm và kho thiết bị</x:v>
      </x:c>
      <x:c r="C25" s="4" t="str">
        <x:v>Danh sách, chi tiết, trạng thái trạm</x:v>
      </x:c>
      <x:c r="D25" s="18" t="str">
        <x:v>CO_MOT_PHAN</x:v>
      </x:c>
      <x:c r="E25" s="4" t="str">
        <x:v>CRUD API tồn tại; /operations có tạo/list nhưng thiếu chi tiết.</x:v>
      </x:c>
      <x:c r="F25" s="4" t="str">
        <x:v>Hoàn thiện UI và kiểm tra điều kiện đóng/ngừng trạm có tài nguyên.</x:v>
      </x:c>
      <x:c r="G25" s="4" t="str">
        <x:v>PHASE_1_HANDOFF.md | 2026-10-06 | HEAD 16f70f6 | L35; L71-L74</x:v>
      </x:c>
      <x:c r="H25" s="4" t="str">
        <x:v>P1</x:v>
      </x:c>
      <x:c r="I25" s="4" t="str">
        <x:v>Không mất liên kết hoặc lịch sử khi thay đổi trạng thái.</x:v>
      </x:c>
      <x:c r="J25" s="20" t="str">
        <x:v>PARTIAL</x:v>
      </x:c>
      <x:c r="K25" s="20" t="str">
        <x:v>Station list/detail/create/update/delete source exists; browser trace covers selected drawer only. Evidence: docs/handoff/final/FINAL_INTEGRATION_HANDOFF.md; docs/handoff/final/BACKEND_BUSINESS_VERIFICATION.md; sync DOC_SYNC_2026-10-07_6ecc851.</x:v>
      </x:c>
    </x:row>
    <x:row r="26" ht="64" customHeight="1">
      <x:c r="A26" s="4" t="str">
        <x:v>ST-03</x:v>
      </x:c>
      <x:c r="B26" s="4" t="str">
        <x:v>03. Trạm và kho thiết bị</x:v>
      </x:c>
      <x:c r="C26" s="4" t="str">
        <x:v>Kho ảo/cấu trúc kho riêng</x:v>
      </x:c>
      <x:c r="D26" s="18" t="str">
        <x:v>CHUA_XAC_MINH</x:v>
      </x:c>
      <x:c r="E26" s="4" t="str">
        <x:v>Báo cáo mô tả station và equipment, chưa mô tả mô hình kho ảo riêng.</x:v>
      </x:c>
      <x:c r="F26" s="4" t="str">
        <x:v>Chốt định nghĩa kho ảo trước khi bổ sung; không đồng nhất với bộ lọc trạm.</x:v>
      </x:c>
      <x:c r="G26" s="4" t="str">
        <x:v>PHASE_1_HANDOFF.md | 2026-10-06 | HEAD 16f70f6 | L128-L132</x:v>
      </x:c>
      <x:c r="H26" s="4" t="str">
        <x:v>P2</x:v>
      </x:c>
      <x:c r="I26" s="4" t="str">
        <x:v>Định nghĩa kho, chủ sở hữu và tài nguyên không đếm trùng được duyệt.</x:v>
      </x:c>
      <x:c r="J26" s="20" t="str">
        <x:v>NOT_IMPLEMENTED</x:v>
      </x:c>
      <x:c r="K26" s="20" t="str">
        <x:v>Current source/report has no separate virtual-warehouse model; do not infer it from station filters. Evidence: docs/handoff/final/FINAL_INTEGRATION_HANDOFF.md; docs/handoff/final/BACKEND_BUSINESS_VERIFICATION.md; sync DOC_SYNC_2026-10-07_6ecc851.</x:v>
      </x:c>
    </x:row>
    <x:row r="27" ht="64" customHeight="1">
      <x:c r="A27" s="4" t="str">
        <x:v>INV-01</x:v>
      </x:c>
      <x:c r="B27" s="4" t="str">
        <x:v>03. Trạm và kho thiết bị</x:v>
      </x:c>
      <x:c r="C27" s="4" t="str">
        <x:v>Tính số lượng nhập → giữ chỗ → giải phóng</x:v>
      </x:c>
      <x:c r="D27" s="18" t="str">
        <x:v>CO_TEST_PHAM_VI_HEP</x:v>
      </x:c>
      <x:c r="E27" s="4" t="str">
        <x:v>InventoryServiceTest kiểm tra một chuỗi hợp lệ và movement writes.</x:v>
      </x:c>
      <x:c r="F27" s="4" t="str">
        <x:v>Giữ test; không dùng kết quả này làm bằng chứng concurrency/idempotency.</x:v>
      </x:c>
      <x:c r="G27" s="4" t="str">
        <x:v>PHASE_1_HANDOFF.md | 2026-10-06 | HEAD 16f70f6 | L37; L193-L195</x:v>
      </x:c>
      <x:c r="H27" s="4" t="str">
        <x:v>P0</x:v>
      </x:c>
      <x:c r="I27" s="4" t="str">
        <x:v>Kết quả đúng cho chuỗi đã kiểm thử; các tình huống khác có test riêng.</x:v>
      </x:c>
      <x:c r="J27" s="20" t="str">
        <x:v>VERIFIED</x:v>
      </x:c>
      <x:c r="K27" s="20" t="str">
        <x:v>Inventory unit tests plus fresh PostgreSQL stabilization cover stock/reserve/release arithmetic. Evidence: docs/handoff/final/FINAL_INTEGRATION_HANDOFF.md; docs/handoff/final/BACKEND_BUSINESS_VERIFICATION.md; sync DOC_SYNC_2026-10-07_6ecc851.</x:v>
      </x:c>
    </x:row>
    <x:row r="28" ht="64" customHeight="1">
      <x:c r="A28" s="4" t="str">
        <x:v>INV-02</x:v>
      </x:c>
      <x:c r="B28" s="4" t="str">
        <x:v>03. Trạm và kho thiết bị</x:v>
      </x:c>
      <x:c r="C28" s="4" t="str">
        <x:v>Nhập/xuất, giữ chỗ/giải phóng, điều chuyển</x:v>
      </x:c>
      <x:c r="D28" s="18" t="str">
        <x:v>CO_MOT_PHAN</x:v>
      </x:c>
      <x:c r="E28" s="4" t="str">
        <x:v>Có API; UI thao tác chủ yếu +1/reserve1/release1.</x:v>
      </x:c>
      <x:c r="F28" s="4" t="str">
        <x:v>Form số lượng, validation, quyền riêng và phản hồi lỗi nghiệp vụ.</x:v>
      </x:c>
      <x:c r="G28" s="4" t="str">
        <x:v>PHASE_1_HANDOFF.md | 2026-10-06 | HEAD 16f70f6 | L37; L85-L88</x:v>
      </x:c>
      <x:c r="H28" s="4" t="str">
        <x:v>P1</x:v>
      </x:c>
      <x:c r="I28" s="4" t="str">
        <x:v>Người dùng thao tác đúng lượng mong muốn; backend quyết định tồn hợp lệ.</x:v>
      </x:c>
      <x:c r="J28" s="20" t="str">
        <x:v>PARTIAL</x:v>
      </x:c>
      <x:c r="K28" s="20" t="str">
        <x:v>All movement endpoints, locks and validation exist; full authenticated HTTP/UI matrix is incomplete. Evidence: docs/handoff/final/FINAL_INTEGRATION_HANDOFF.md; docs/handoff/final/BACKEND_BUSINESS_VERIFICATION.md; sync DOC_SYNC_2026-10-07_6ecc851.</x:v>
      </x:c>
    </x:row>
    <x:row r="29" ht="64" customHeight="1">
      <x:c r="A29" s="4" t="str">
        <x:v>INV-03</x:v>
      </x:c>
      <x:c r="B29" s="4" t="str">
        <x:v>03. Trạm và kho thiết bị</x:v>
      </x:c>
      <x:c r="C29" s="4" t="str">
        <x:v>Giữ chỗ có owner/reference/time trong Inventory Phase 1</x:v>
      </x:c>
      <x:c r="D29" s="18" t="str">
        <x:v>CHUA_TRIEN_KHAI_THEO_BC</x:v>
      </x:c>
      <x:c r="E29" s="4" t="str">
        <x:v>Inventory Phase 1 không có; wrapper Mission có reservation rows riêng.</x:v>
      </x:c>
      <x:c r="F29" s="4" t="str">
        <x:v>Rà wrapper hiện có; thống nhất hợp đồng reservation, không tạo lớp trùng.</x:v>
      </x:c>
      <x:c r="G29" s="4" t="str">
        <x:v>PHASE_1_HANDOFF.md | 2026-10-06 | HEAD 16f70f6 | L143-L145</x:v>
      </x:c>
      <x:c r="H29" s="4" t="str">
        <x:v>P0</x:v>
      </x:c>
      <x:c r="I29" s="4" t="str">
        <x:v>Truy vết được ai giữ cho Mission nào; dữ liệu không mâu thuẫn giữa hai module.</x:v>
      </x:c>
      <x:c r="J29" s="20" t="str">
        <x:v>NOT_IMPLEMENTED</x:v>
      </x:c>
      <x:c r="K29" s="20" t="str">
        <x:v>Phase-1 inventory lacks owner/reference/time reservation fields; mission wrapper is separate. Evidence: docs/handoff/final/FINAL_INTEGRATION_HANDOFF.md; docs/handoff/final/BACKEND_BUSINESS_VERIFICATION.md; sync DOC_SYNC_2026-10-07_6ecc851.</x:v>
      </x:c>
    </x:row>
    <x:row r="30" ht="64" customHeight="1">
      <x:c r="A30" s="4" t="str">
        <x:v>INV-04</x:v>
      </x:c>
      <x:c r="B30" s="4" t="str">
        <x:v>03. Trạm và kho thiết bị</x:v>
      </x:c>
      <x:c r="C30" s="4" t="str">
        <x:v>Chống request giữ chỗ/giải phóng lặp</x:v>
      </x:c>
      <x:c r="D30" s="18" t="str">
        <x:v>CHUA_TRIEN_KHAI_THEO_BC</x:v>
      </x:c>
      <x:c r="E30" s="4" t="str">
        <x:v>Báo cáo xác nhận request lặp tiếp tục đổi số lượng; chưa có idempotency key.</x:v>
      </x:c>
      <x:c r="F30" s="4" t="str">
        <x:v>Thêm chống xử lý lặp phù hợp contract và test retry.</x:v>
      </x:c>
      <x:c r="G30" s="4" t="str">
        <x:v>PHASE_1_HANDOFF.md | 2026-10-06 | HEAD 16f70f6 | L143; L195</x:v>
      </x:c>
      <x:c r="H30" s="4" t="str">
        <x:v>P0</x:v>
      </x:c>
      <x:c r="I30" s="4" t="str">
        <x:v>Cùng một yêu cầu nghiệp vụ không được cộng/trừ tồn hai lần.</x:v>
      </x:c>
      <x:c r="J30" s="20" t="str">
        <x:v>VERIFIED</x:v>
      </x:c>
      <x:c r="K30" s="20" t="str">
        <x:v>requestId replay protection and payload-mismatch conflict are covered by tests and PostgreSQL stabilization. Evidence: docs/handoff/final/FINAL_INTEGRATION_HANDOFF.md; docs/handoff/final/BACKEND_BUSINESS_VERIFICATION.md; sync DOC_SYNC_2026-10-07_6ecc851.</x:v>
      </x:c>
    </x:row>
    <x:row r="31" ht="64" customHeight="1">
      <x:c r="A31" s="4" t="str">
        <x:v>INV-05</x:v>
      </x:c>
      <x:c r="B31" s="4" t="str">
        <x:v>03. Trạm và kho thiết bị</x:v>
      </x:c>
      <x:c r="C31" s="4" t="str">
        <x:v>Chống giữ vượt tồn khi request đồng thời</x:v>
      </x:c>
      <x:c r="D31" s="18" t="str">
        <x:v>CHUA_XAC_MINH</x:v>
      </x:c>
      <x:c r="E31" s="4" t="str">
        <x:v>Có @Version nhưng chưa có test concurrent reservation trực tiếp.</x:v>
      </x:c>
      <x:c r="F31" s="4" t="str">
        <x:v>Chạy test tranh chấp trên PostgreSQL riêng cho test.</x:v>
      </x:c>
      <x:c r="G31" s="4" t="str">
        <x:v>PHASE_1_HANDOFF.md | 2026-10-06 | HEAD 16f70f6 | L145; L193-L194</x:v>
      </x:c>
      <x:c r="H31" s="4" t="str">
        <x:v>P0</x:v>
      </x:c>
      <x:c r="I31" s="4" t="str">
        <x:v>Hai request tranh tài nguyên cuối không tạo tồn âm hoặc giữ vượt.</x:v>
      </x:c>
      <x:c r="J31" s="20" t="str">
        <x:v>VERIFIED</x:v>
      </x:c>
      <x:c r="K31" s="20" t="str">
        <x:v>Fresh PostgreSQL concurrentReservationsCannotOverAllocateAndHaveMatchingAudit passed. Evidence: docs/handoff/final/FINAL_INTEGRATION_HANDOFF.md; docs/handoff/final/BACKEND_BUSINESS_VERIFICATION.md; sync DOC_SYNC_2026-10-07_6ecc851.</x:v>
      </x:c>
    </x:row>
    <x:row r="32" ht="64" customHeight="1">
      <x:c r="A32" s="4" t="str">
        <x:v>INV-06</x:v>
      </x:c>
      <x:c r="B32" s="4" t="str">
        <x:v>03. Trạm và kho thiết bị</x:v>
      </x:c>
      <x:c r="C32" s="4" t="str">
        <x:v>Điều chuyển một phần giữa trạm</x:v>
      </x:c>
      <x:c r="D32" s="18" t="str">
        <x:v>CHUA_XAC_MINH</x:v>
      </x:c>
      <x:c r="E32" s="4" t="str">
        <x:v>Có transfer nhưng thuật toán đổi station của equipment cần kiểm thử trường hợp một phần.</x:v>
      </x:c>
      <x:c r="F32" s="4" t="str">
        <x:v>Xác minh chuyển 3/10 đơn vị và bảo toàn số lượng nguồn/đích.</x:v>
      </x:c>
      <x:c r="G32" s="4" t="str">
        <x:v>PHASE_1_HANDOFF.md | 2026-10-06 | HEAD 16f70f6 | L141</x:v>
      </x:c>
      <x:c r="H32" s="4" t="str">
        <x:v>P0</x:v>
      </x:c>
      <x:c r="I32" s="4" t="str">
        <x:v>Trạm nguồn còn 7, đích tăng 3; history và audit khớp cùng nghiệp vụ.</x:v>
      </x:c>
      <x:c r="J32" s="20" t="str">
        <x:v>VERIFIED</x:v>
      </x:c>
      <x:c r="K32" s="20" t="str">
        <x:v>Fresh PostgreSQL fullAndPartialTransfersPreservePerStationStock passed. Evidence: docs/handoff/final/FINAL_INTEGRATION_HANDOFF.md; docs/handoff/final/BACKEND_BUSINESS_VERIFICATION.md; sync DOC_SYNC_2026-10-07_6ecc851.</x:v>
      </x:c>
    </x:row>
    <x:row r="33" ht="64" customHeight="1">
      <x:c r="A33" s="4" t="str">
        <x:v>INV-07</x:v>
      </x:c>
      <x:c r="B33" s="4" t="str">
        <x:v>03. Trạm và kho thiết bị</x:v>
      </x:c>
      <x:c r="C33" s="4" t="str">
        <x:v>Serialized device và quantity item tách đúng ngữ nghĩa</x:v>
      </x:c>
      <x:c r="D33" s="18" t="str">
        <x:v>CO_MOT_PHAN</x:v>
      </x:c>
      <x:c r="E33" s="4" t="str">
        <x:v>Chỉ phân biệt bằng serialNumber tùy chọn; không có lifecycle serial-unit riêng.</x:v>
      </x:c>
      <x:c r="F33" s="4" t="str">
        <x:v>Chốt mô hình thiết bị theo serial và vật tư theo lượng; bảo toàn dữ liệu cũ.</x:v>
      </x:c>
      <x:c r="G33" s="4" t="str">
        <x:v>PHASE_1_HANDOFF.md | 2026-10-06 | HEAD 16f70f6 | L139</x:v>
      </x:c>
      <x:c r="H33" s="4" t="str">
        <x:v>P1</x:v>
      </x:c>
      <x:c r="I33" s="4" t="str">
        <x:v>Camera serial riêng không thể là một lô có quantity lớn tùy ý.</x:v>
      </x:c>
      <x:c r="J33" s="20" t="str">
        <x:v>PARTIAL</x:v>
      </x:c>
      <x:c r="K33" s="20" t="str">
        <x:v>Optional serialNumber exists, but no separate serialized-unit lifecycle. Evidence: docs/handoff/final/FINAL_INTEGRATION_HANDOFF.md; docs/handoff/final/BACKEND_BUSINESS_VERIFICATION.md; sync DOC_SYNC_2026-10-07_6ecc851.</x:v>
      </x:c>
    </x:row>
    <x:row r="34" ht="64" customHeight="1">
      <x:c r="A34" s="4" t="str">
        <x:v>INV-08</x:v>
      </x:c>
      <x:c r="B34" s="4" t="str">
        <x:v>03. Trạm và kho thiết bị</x:v>
      </x:c>
      <x:c r="C34" s="4" t="str">
        <x:v>Bàn giao và hoàn trả vật lý</x:v>
      </x:c>
      <x:c r="D34" s="18" t="str">
        <x:v>CHUA_TRIEN_KHAI_THEO_BC</x:v>
      </x:c>
      <x:c r="E34" s="4" t="str">
        <x:v>Chưa có entity/state bàn giao/hoàn trả.</x:v>
      </x:c>
      <x:c r="F34" s="4" t="str">
        <x:v>Bổ sung vào workflow Mission; không coi release reservation là trả vật lý.</x:v>
      </x:c>
      <x:c r="G34" s="4" t="str">
        <x:v>PHASE_1_HANDOFF.md | 2026-10-06 | HEAD 16f70f6 | L143; L224</x:v>
      </x:c>
      <x:c r="H34" s="4" t="str">
        <x:v>P0</x:v>
      </x:c>
      <x:c r="I34" s="4" t="str">
        <x:v>Thiết bị chưa trả không được đánh dấu khả dụng.</x:v>
      </x:c>
      <x:c r="J34" s="20" t="str">
        <x:v>NOT_IMPLEMENTED</x:v>
      </x:c>
      <x:c r="K34" s="20" t="str">
        <x:v>Physical handover/return entity/state is absent; release is not proof of physical return. Evidence: docs/handoff/final/FINAL_INTEGRATION_HANDOFF.md; docs/handoff/final/BACKEND_BUSINESS_VERIFICATION.md; sync DOC_SYNC_2026-10-07_6ecc851.</x:v>
      </x:c>
    </x:row>
    <x:row r="35" ht="64" customHeight="1">
      <x:c r="A35" s="4" t="str">
        <x:v>INV-09</x:v>
      </x:c>
      <x:c r="B35" s="4" t="str">
        <x:v>03. Trạm và kho thiết bị</x:v>
      </x:c>
      <x:c r="C35" s="4" t="str">
        <x:v>Hỏng/mất/cách ly bảo trì/đối soát</x:v>
      </x:c>
      <x:c r="D35" s="18" t="str">
        <x:v>CHUA_TRIEN_KHAI_THEO_BC</x:v>
      </x:c>
      <x:c r="E35" s="4" t="str">
        <x:v>Báo cáo xác nhận các workflow này chưa triển khai.</x:v>
      </x:c>
      <x:c r="F35" s="4" t="str">
        <x:v>Bổ sung luồng ghi nhận tình trạng và kiểm kê/đối soát được duyệt.</x:v>
      </x:c>
      <x:c r="G35" s="4" t="str">
        <x:v>PHASE_1_HANDOFF.md | 2026-10-06 | HEAD 16f70f6 | L139-L143</x:v>
      </x:c>
      <x:c r="H35" s="4" t="str">
        <x:v>P1</x:v>
      </x:c>
      <x:c r="I35" s="4" t="str">
        <x:v>Thiết bị hỏng không vào tồn khả dụng; thay đổi tình trạng có lịch sử.</x:v>
      </x:c>
      <x:c r="J35" s="20" t="str">
        <x:v>NOT_IMPLEMENTED</x:v>
      </x:c>
      <x:c r="K35" s="20" t="str">
        <x:v>Damaged/lost/quarantine/reconciliation lifecycle is absent. Evidence: docs/handoff/final/FINAL_INTEGRATION_HANDOFF.md; docs/handoff/final/BACKEND_BUSINESS_VERIFICATION.md; sync DOC_SYNC_2026-10-07_6ecc851.</x:v>
      </x:c>
    </x:row>
    <x:row r="36" ht="64" customHeight="1">
      <x:c r="A36" s="4" t="str">
        <x:v>INV-10</x:v>
      </x:c>
      <x:c r="B36" s="4" t="str">
        <x:v>03. Trạm và kho thiết bị</x:v>
      </x:c>
      <x:c r="C36" s="4" t="str">
        <x:v>Lịch sử biến động kho và Audit</x:v>
      </x:c>
      <x:c r="D36" s="18" t="str">
        <x:v>CO_MOT_PHAN</x:v>
      </x:c>
      <x:c r="E36" s="4" t="str">
        <x:v>Có movements/audit đồng bộ; còn thiếu nghiệm thu xuyên module.</x:v>
      </x:c>
      <x:c r="F36" s="4" t="str">
        <x:v>Hoàn thiện bảng lịch sử và test tính nhất quán.</x:v>
      </x:c>
      <x:c r="G36" s="4" t="str">
        <x:v>PHASE_1_HANDOFF.md | 2026-10-06 | HEAD 16f70f6 | L37; L141; L197</x:v>
      </x:c>
      <x:c r="H36" s="4" t="str">
        <x:v>P1</x:v>
      </x:c>
      <x:c r="I36" s="4" t="str">
        <x:v>Mỗi thay đổi tồn có movement và actor; không sửa trực tiếp số lượng để mất dấu.</x:v>
      </x:c>
      <x:c r="J36" s="20" t="str">
        <x:v>PARTIAL</x:v>
      </x:c>
      <x:c r="K36" s="20" t="str">
        <x:v>Movement/audit writes and query tests exist; append-only enforcement/cross-module completeness unverified. Evidence: docs/handoff/final/FINAL_INTEGRATION_HANDOFF.md; docs/handoff/final/BACKEND_BUSINESS_VERIFICATION.md; sync DOC_SYNC_2026-10-07_6ecc851.</x:v>
      </x:c>
    </x:row>
    <x:row r="37" ht="64" customHeight="1">
      <x:c r="A37" s="4" t="str">
        <x:v>MSN-01</x:v>
      </x:c>
      <x:c r="B37" s="4" t="str">
        <x:v>04. Nhiệm vụ và đặt dịch vụ</x:v>
      </x:c>
      <x:c r="C37" s="4" t="str">
        <x:v>Mission list/create/detail, trạng thái và lifecycle</x:v>
      </x:c>
      <x:c r="D37" s="18" t="str">
        <x:v>CO_MOT_PHAN</x:v>
      </x:c>
      <x:c r="E37" s="4" t="str">
        <x:v>Đã có code Phase 2 và các bộ test; chưa nghiệm thu riêng trong handoff.</x:v>
      </x:c>
      <x:c r="F37" s="4" t="str">
        <x:v>Đọc và tái sử dụng code; review đúng phạm vi Phase 2.</x:v>
      </x:c>
      <x:c r="G37" s="4" t="str">
        <x:v>PHASE_1_HANDOFF.md | 2026-10-06 | HEAD 16f70f6 | L45; L219</x:v>
      </x:c>
      <x:c r="H37" s="4" t="str">
        <x:v>P1</x:v>
      </x:c>
      <x:c r="I37" s="4" t="str">
        <x:v>Tạo bản nháp → gửi yêu cầu → xử lý đúng trạng thái trên backend thật.</x:v>
      </x:c>
      <x:c r="J37" s="20" t="str">
        <x:v>PARTIAL</x:v>
      </x:c>
      <x:c r="K37" s="20" t="str">
        <x:v>Mission service/catalog/list/detail/state code and tests exist; fresh secured browser flow absent. Evidence: docs/handoff/final/FINAL_INTEGRATION_HANDOFF.md; docs/handoff/final/BACKEND_BUSINESS_VERIFICATION.md; sync DOC_SYNC_2026-10-07_6ecc851.</x:v>
      </x:c>
    </x:row>
    <x:row r="38" ht="64" customHeight="1">
      <x:c r="A38" s="4" t="str">
        <x:v>MSN-02</x:v>
      </x:c>
      <x:c r="B38" s="4" t="str">
        <x:v>04. Nhiệm vụ và đặt dịch vụ</x:v>
      </x:c>
      <x:c r="C38" s="4" t="str">
        <x:v>Chọn dịch vụ và thời gian</x:v>
      </x:c>
      <x:c r="D38" s="18" t="str">
        <x:v>CO_MOT_PHAN</x:v>
      </x:c>
      <x:c r="E38" s="4" t="str">
        <x:v>Có UAV services, mission start/end và dữ liệu lifecycle.</x:v>
      </x:c>
      <x:c r="F38" s="4" t="str">
        <x:v>Nghiệm thu validation, đổi lịch và dữ liệu danh mục thực.</x:v>
      </x:c>
      <x:c r="G38" s="4" t="str">
        <x:v>PHASE_1_HANDOFF.md | 2026-10-06 | HEAD 16f70f6 | L135; L221</x:v>
      </x:c>
      <x:c r="H38" s="4" t="str">
        <x:v>P1</x:v>
      </x:c>
      <x:c r="I38" s="4" t="str">
        <x:v>Ngày giờ hợp lệ; quy tắc đổi lịch không làm sai reservation.</x:v>
      </x:c>
      <x:c r="J38" s="20" t="str">
        <x:v>PARTIAL</x:v>
      </x:c>
      <x:c r="K38" s="20" t="str">
        <x:v>Service catalog and time fields exist; authenticated role/HTTP acceptance remains incomplete. Evidence: docs/handoff/final/FINAL_INTEGRATION_HANDOFF.md; docs/handoff/final/BACKEND_BUSINESS_VERIFICATION.md; sync DOC_SYNC_2026-10-07_6ecc851.</x:v>
      </x:c>
    </x:row>
    <x:row r="39" ht="64" customHeight="1">
      <x:c r="A39" s="4" t="str">
        <x:v>MSN-03</x:v>
      </x:c>
      <x:c r="B39" s="4" t="str">
        <x:v>04. Nhiệm vụ và đặt dịch vụ</x:v>
      </x:c>
      <x:c r="C39" s="4" t="str">
        <x:v>Phân công trạm/UAV/operator</x:v>
      </x:c>
      <x:c r="D39" s="18" t="str">
        <x:v>CO_MOT_PHAN</x:v>
      </x:c>
      <x:c r="E39" s="4" t="str">
        <x:v>Có assignment trong code Mission, nhưng capability/availability cần kiểm tra.</x:v>
      </x:c>
      <x:c r="F39" s="4" t="str">
        <x:v>Hoàn thiện scope, năng lực thao tác và điều kiện phân công.</x:v>
      </x:c>
      <x:c r="G39" s="4" t="str">
        <x:v>PHASE_1_HANDOFF.md | 2026-10-06 | HEAD 16f70f6 | L220</x:v>
      </x:c>
      <x:c r="H39" s="4" t="str">
        <x:v>P0</x:v>
      </x:c>
      <x:c r="I39" s="4" t="str">
        <x:v>Chỉ người phù hợp, tài nguyên hợp lệ được phân công.</x:v>
      </x:c>
      <x:c r="J39" s="20" t="str">
        <x:v>PARTIAL</x:v>
      </x:c>
      <x:c r="K39" s="20" t="str">
        <x:v>Station/UAV/operator assignment code/tests exist; full role matrix and state integration unverified. Evidence: docs/handoff/final/FINAL_INTEGRATION_HANDOFF.md; docs/handoff/final/BACKEND_BUSINESS_VERIFICATION.md; sync DOC_SYNC_2026-10-07_6ecc851.</x:v>
      </x:c>
    </x:row>
    <x:row r="40" ht="64" customHeight="1">
      <x:c r="A40" s="4" t="str">
        <x:v>MSN-04</x:v>
      </x:c>
      <x:c r="B40" s="4" t="str">
        <x:v>04. Nhiệm vụ và đặt dịch vụ</x:v>
      </x:c>
      <x:c r="C40" s="4" t="str">
        <x:v>Quyền sở hữu nhiệm vụ và phạm vi xem</x:v>
      </x:c>
      <x:c r="D40" s="18" t="str">
        <x:v>CHUA_XAC_MINH</x:v>
      </x:c>
      <x:c r="E40" s="4" t="str">
        <x:v>Báo cáo yêu cầu review riêng, chưa xác nhận nghiệm thu.</x:v>
      </x:c>
      <x:c r="F40" s="4" t="str">
        <x:v>Test owner/assigned/all scope và truy cập bằng ID.</x:v>
      </x:c>
      <x:c r="G40" s="4" t="str">
        <x:v>PHASE_1_HANDOFF.md | 2026-10-06 | HEAD 16f70f6 | L117; L219</x:v>
      </x:c>
      <x:c r="H40" s="4" t="str">
        <x:v>P0</x:v>
      </x:c>
      <x:c r="I40" s="4" t="str">
        <x:v>Không xem/sửa Mission người khác bằng đổi ID hoặc query.</x:v>
      </x:c>
      <x:c r="J40" s="20" t="str">
        <x:v>PARTIAL</x:v>
      </x:c>
      <x:c r="K40" s="20" t="str">
        <x:v>Owner/operator scopes are implemented in source/tests; exhaustive direct-ID matrix not run. Evidence: docs/handoff/final/FINAL_INTEGRATION_HANDOFF.md; docs/handoff/final/BACKEND_BUSINESS_VERIFICATION.md; sync DOC_SYNC_2026-10-07_6ecc851.</x:v>
      </x:c>
    </x:row>
    <x:row r="41" ht="64" customHeight="1">
      <x:c r="A41" s="4" t="str">
        <x:v>MSN-05</x:v>
      </x:c>
      <x:c r="B41" s="4" t="str">
        <x:v>04. Nhiệm vụ và đặt dịch vụ</x:v>
      </x:c>
      <x:c r="C41" s="4" t="str">
        <x:v>Trùng lịch UAV và operator</x:v>
      </x:c>
      <x:c r="D41" s="18" t="str">
        <x:v>CO_MOT_PHAN</x:v>
      </x:c>
      <x:c r="E41" s="4" t="str">
        <x:v>Có overlap queries và concurrency contract checks ở Phase 2.</x:v>
      </x:c>
      <x:c r="F41" s="4" t="str">
        <x:v>Kiểm chứng interval, khóa và lỗi conflict trên PostgreSQL.</x:v>
      </x:c>
      <x:c r="G41" s="4" t="str">
        <x:v>PHASE_1_HANDOFF.md | 2026-10-06 | HEAD 16f70f6 | L45; L221</x:v>
      </x:c>
      <x:c r="H41" s="4" t="str">
        <x:v>P0</x:v>
      </x:c>
      <x:c r="I41" s="4" t="str">
        <x:v>Từ chối lịch trùng; lịch không trùng được xử lý đúng chính sách.</x:v>
      </x:c>
      <x:c r="J41" s="20" t="str">
        <x:v>IMPLEMENTED_NOT_VERIFIED</x:v>
      </x:c>
      <x:c r="K41" s="20" t="str">
        <x:v>Half-open overlap predicate and unit tests exist; concurrent assignment on PostgreSQL is unverified. Evidence: docs/handoff/final/FINAL_INTEGRATION_HANDOFF.md; docs/handoff/final/BACKEND_BUSINESS_VERIFICATION.md; sync DOC_SYNC_2026-10-07_6ecc851.</x:v>
      </x:c>
    </x:row>
    <x:row r="42" ht="64" customHeight="1">
      <x:c r="A42" s="4" t="str">
        <x:v>MSN-06</x:v>
      </x:c>
      <x:c r="B42" s="4" t="str">
        <x:v>04. Nhiệm vụ và đặt dịch vụ</x:v>
      </x:c>
      <x:c r="C42" s="4" t="str">
        <x:v>Giữ tài nguyên theo Mission</x:v>
      </x:c>
      <x:c r="D42" s="18" t="str">
        <x:v>CO_MOT_PHAN</x:v>
      </x:c>
      <x:c r="E42" s="4" t="str">
        <x:v>Wrapper Mission gọi Inventory quantity-only và tạo mission reservation rows.</x:v>
      </x:c>
      <x:c r="F42" s="4" t="str">
        <x:v>Thống nhất idempotency, phạm vi tham chiếu và nguyên tử thay đổi.</x:v>
      </x:c>
      <x:c r="G42" s="4" t="str">
        <x:v>PHASE_1_HANDOFF.md | 2026-10-06 | HEAD 16f70f6 | L145; L222</x:v>
      </x:c>
      <x:c r="H42" s="4" t="str">
        <x:v>P0</x:v>
      </x:c>
      <x:c r="I42" s="4" t="str">
        <x:v>Không giữ trùng khi retry; lỗi giữa chừng không để tài nguyên mồ côi.</x:v>
      </x:c>
      <x:c r="J42" s="20" t="str">
        <x:v>PARTIAL</x:v>
      </x:c>
      <x:c r="K42" s="20" t="str">
        <x:v>Reservation rows and release paths exist; physical handover/return and all resource branches are unverified. Evidence: docs/handoff/final/FINAL_INTEGRATION_HANDOFF.md; docs/handoff/final/BACKEND_BUSINESS_VERIFICATION.md; sync DOC_SYNC_2026-10-07_6ecc851.</x:v>
      </x:c>
    </x:row>
    <x:row r="43" ht="64" customHeight="1">
      <x:c r="A43" s="4" t="str">
        <x:v>MSN-07</x:v>
      </x:c>
      <x:c r="B43" s="4" t="str">
        <x:v>04. Nhiệm vụ và đặt dịch vụ</x:v>
      </x:c>
      <x:c r="C43" s="4" t="str">
        <x:v>Bắt đầu/kết thúc/hủy/thất bại nhiệm vụ</x:v>
      </x:c>
      <x:c r="D43" s="18" t="str">
        <x:v>CO_MOT_PHAN</x:v>
      </x:c>
      <x:c r="E43" s="4" t="str">
        <x:v>Lifecycle endpoints và execution tests tồn tại.</x:v>
      </x:c>
      <x:c r="F43" s="4" t="str">
        <x:v>Nghiệm thu cùng workflow trả thiết bị và nhánh lỗi/hủy.</x:v>
      </x:c>
      <x:c r="G43" s="4" t="str">
        <x:v>PHASE_1_HANDOFF.md | 2026-10-06 | HEAD 16f70f6 | L45; L224</x:v>
      </x:c>
      <x:c r="H43" s="4" t="str">
        <x:v>P1</x:v>
      </x:c>
      <x:c r="I43" s="4" t="str">
        <x:v>Kết thúc Mission không tự biến tài nguyên hỏng/chưa trả thành AVAILABLE.</x:v>
      </x:c>
      <x:c r="J43" s="20" t="str">
        <x:v>PARTIAL</x:v>
      </x:c>
      <x:c r="K43" s="20" t="str">
        <x:v>Lifecycle tests pass for selected branches; reject/resource-release gap remains documented. Evidence: docs/handoff/final/FINAL_INTEGRATION_HANDOFF.md; docs/handoff/final/BACKEND_BUSINESS_VERIFICATION.md; sync DOC_SYNC_2026-10-07_6ecc851.</x:v>
      </x:c>
    </x:row>
    <x:row r="44" ht="64" customHeight="1">
      <x:c r="A44" s="4" t="str">
        <x:v>MSN-08</x:v>
      </x:c>
      <x:c r="B44" s="4" t="str">
        <x:v>04. Nhiệm vụ và đặt dịch vụ</x:v>
      </x:c>
      <x:c r="C44" s="4" t="str">
        <x:v>Media, Timeline và Dashboard Mission</x:v>
      </x:c>
      <x:c r="D44" s="18" t="str">
        <x:v>CO_MOT_PHAN</x:v>
      </x:c>
      <x:c r="E44" s="4" t="str">
        <x:v>Đã có code và tests liên quan, cần review độc lập.</x:v>
      </x:c>
      <x:c r="F44" s="4" t="str">
        <x:v>Kiểm tra quyền Media, event/audit, cache và thống kê theo scope.</x:v>
      </x:c>
      <x:c r="G44" s="4" t="str">
        <x:v>PHASE_1_HANDOFF.md | 2026-10-06 | HEAD 16f70f6 | L45; L223-L225</x:v>
      </x:c>
      <x:c r="H44" s="4" t="str">
        <x:v>P1</x:v>
      </x:c>
      <x:c r="I44" s="4" t="str">
        <x:v>Chỉ file hợp lệ/được phép được xem; lịch sử nhất quán với thay đổi trạng thái.</x:v>
      </x:c>
      <x:c r="J44" s="20" t="str">
        <x:v>PARTIAL</x:v>
      </x:c>
      <x:c r="K44" s="20" t="str">
        <x:v>Media/timeline/mission dashboard endpoints/tests exist; populated authenticated runtime proof is incomplete. Evidence: docs/handoff/final/FINAL_INTEGRATION_HANDOFF.md; docs/handoff/final/BACKEND_BUSINESS_VERIFICATION.md; sync DOC_SYNC_2026-10-07_6ecc851.</x:v>
      </x:c>
    </x:row>
    <x:row r="45" ht="64" customHeight="1">
      <x:c r="A45" s="4" t="str">
        <x:v>SAR-01</x:v>
      </x:c>
      <x:c r="B45" s="4" t="str">
        <x:v>05. Tìm kiếm và cứu nạn</x:v>
      </x:c>
      <x:c r="C45" s="4" t="str">
        <x:v>Tạo hồ sơ nhiệm vụ cứu hộ</x:v>
      </x:c>
      <x:c r="D45" s="18" t="str">
        <x:v>CHUA_XAC_MINH</x:v>
      </x:c>
      <x:c r="E45" s="4" t="str">
        <x:v>Ngoài phạm vi kiểm tra Phase 1; không có báo cáo triển khai/nghiệm thu module riêng.</x:v>
      </x:c>
      <x:c r="F45" s="4" t="str">
        <x:v>Kiểm tra source hiện tại; nếu thiếu, thiết kế loại Mission cứu hộ tái sử dụng Mission.</x:v>
      </x:c>
      <x:c r="G45" s="4" t="str">
        <x:v>PHASE_1_HANDOFF.md | 2026-10-06 | HEAD 16f70f6 | L41</x:v>
      </x:c>
      <x:c r="H45" s="4" t="str">
        <x:v>P2</x:v>
      </x:c>
      <x:c r="I45" s="4" t="str">
        <x:v>Hồ sơ sự cố có trường bắt buộc và người được phép tạo.</x:v>
      </x:c>
      <x:c r="J45" s="20" t="str">
        <x:v>NOT_IMPLEMENTED</x:v>
      </x:c>
      <x:c r="K45" s="20" t="str">
        <x:v>Final source inventory reports no Search &amp; Rescue module/controller/entity at HEAD 6ecc851. Evidence: docs/handoff/final/FINAL_INTEGRATION_HANDOFF.md; docs/handoff/final/BACKEND_BUSINESS_VERIFICATION.md; sync DOC_SYNC_2026-10-07_6ecc851.</x:v>
      </x:c>
    </x:row>
    <x:row r="46" ht="64" customHeight="1">
      <x:c r="A46" s="4" t="str">
        <x:v>SAR-02</x:v>
      </x:c>
      <x:c r="B46" s="4" t="str">
        <x:v>05. Tìm kiếm và cứu nạn</x:v>
      </x:c>
      <x:c r="C46" s="4" t="str">
        <x:v>Khu vực tìm kiếm và vị trí cuối cùng</x:v>
      </x:c>
      <x:c r="D46" s="18" t="str">
        <x:v>CHUA_XAC_MINH</x:v>
      </x:c>
      <x:c r="E46" s="4" t="str">
        <x:v>Ngoài phạm vi kiểm tra Phase 1; không có báo cáo triển khai/nghiệm thu module riêng.</x:v>
      </x:c>
      <x:c r="F46" s="4" t="str">
        <x:v>Chốt dữ liệu vị trí, thời điểm và cách hiển thị.</x:v>
      </x:c>
      <x:c r="G46" s="4" t="str">
        <x:v>PHASE_1_HANDOFF.md | 2026-10-06 | HEAD 16f70f6 | L41</x:v>
      </x:c>
      <x:c r="H46" s="4" t="str">
        <x:v>P2</x:v>
      </x:c>
      <x:c r="I46" s="4" t="str">
        <x:v>Vị trí có nguồn và thời điểm; không suy từ bounding box ảnh.</x:v>
      </x:c>
      <x:c r="J46" s="20" t="str">
        <x:v>NOT_IMPLEMENTED</x:v>
      </x:c>
      <x:c r="K46" s="20" t="str">
        <x:v>No search-area or last-known-location implementation evidence. Evidence: docs/handoff/final/FINAL_INTEGRATION_HANDOFF.md; docs/handoff/final/BACKEND_BUSINESS_VERIFICATION.md; sync DOC_SYNC_2026-10-07_6ecc851.</x:v>
      </x:c>
    </x:row>
    <x:row r="47" ht="64" customHeight="1">
      <x:c r="A47" s="4" t="str">
        <x:v>SAR-03</x:v>
      </x:c>
      <x:c r="B47" s="4" t="str">
        <x:v>05. Tìm kiếm và cứu nạn</x:v>
      </x:c>
      <x:c r="C47" s="4" t="str">
        <x:v>Ưu tiên cao và quyền kích hoạt cứu hộ</x:v>
      </x:c>
      <x:c r="D47" s="18" t="str">
        <x:v>CHUA_XAC_MINH</x:v>
      </x:c>
      <x:c r="E47" s="4" t="str">
        <x:v>Ngoài phạm vi kiểm tra Phase 1; không có báo cáo triển khai/nghiệm thu module riêng.</x:v>
      </x:c>
      <x:c r="F47" s="4" t="str">
        <x:v>Định nghĩa quyền riêng và audit quyết định ưu tiên.</x:v>
      </x:c>
      <x:c r="G47" s="4" t="str">
        <x:v>PHASE_1_HANDOFF.md | 2026-10-06 | HEAD 16f70f6 | L41</x:v>
      </x:c>
      <x:c r="H47" s="4" t="str">
        <x:v>P2</x:v>
      </x:c>
      <x:c r="I47" s="4" t="str">
        <x:v>Không tự đặt ưu tiên cứu hộ để vượt kiểm soát dịch vụ.</x:v>
      </x:c>
      <x:c r="J47" s="20" t="str">
        <x:v>NOT_IMPLEMENTED</x:v>
      </x:c>
      <x:c r="K47" s="20" t="str">
        <x:v>No rescue priority/authorization implementation evidence. Evidence: docs/handoff/final/FINAL_INTEGRATION_HANDOFF.md; docs/handoff/final/BACKEND_BUSINESS_VERIFICATION.md; sync DOC_SYNC_2026-10-07_6ecc851.</x:v>
      </x:c>
    </x:row>
    <x:row r="48" ht="64" customHeight="1">
      <x:c r="A48" s="4" t="str">
        <x:v>SAR-04</x:v>
      </x:c>
      <x:c r="B48" s="4" t="str">
        <x:v>05. Tìm kiếm và cứu nạn</x:v>
      </x:c>
      <x:c r="C48" s="4" t="str">
        <x:v>AI hỗ trợ phát hiện người và người xác nhận</x:v>
      </x:c>
      <x:c r="D48" s="18" t="str">
        <x:v>CHUA_XAC_MINH</x:v>
      </x:c>
      <x:c r="E48" s="4" t="str">
        <x:v>Ngoài phạm vi kiểm tra Phase 1; không có báo cáo triển khai/nghiệm thu module riêng.</x:v>
      </x:c>
      <x:c r="F48" s="4" t="str">
        <x:v>Tái sử dụng kết quả AI, bổ sung bước người kiểm tra.</x:v>
      </x:c>
      <x:c r="G48" s="4" t="str">
        <x:v>PHASE_1_HANDOFF.md | 2026-10-06 | HEAD 16f70f6 | L41</x:v>
      </x:c>
      <x:c r="H48" s="4" t="str">
        <x:v>P2</x:v>
      </x:c>
      <x:c r="I48" s="4" t="str">
        <x:v>Gợi ý AI không tự được ghi thành kết quả cứu nạn đã xác nhận.</x:v>
      </x:c>
      <x:c r="J48" s="20" t="str">
        <x:v>NOT_IMPLEMENTED</x:v>
      </x:c>
      <x:c r="K48" s="20" t="str">
        <x:v>No AI-assisted rescue confirmation implementation evidence. Evidence: docs/handoff/final/FINAL_INTEGRATION_HANDOFF.md; docs/handoff/final/BACKEND_BUSINESS_VERIFICATION.md; sync DOC_SYNC_2026-10-07_6ecc851.</x:v>
      </x:c>
    </x:row>
    <x:row r="49" ht="64" customHeight="1">
      <x:c r="A49" s="4" t="str">
        <x:v>AI-01</x:v>
      </x:c>
      <x:c r="B49" s="4" t="str">
        <x:v>06. AI và nhận diện</x:v>
      </x:c>
      <x:c r="C49" s="4" t="str">
        <x:v>Điều phối tác vụ, hàng đợi và trạng thái</x:v>
      </x:c>
      <x:c r="D49" s="18" t="str">
        <x:v>CHUA_XAC_MINH</x:v>
      </x:c>
      <x:c r="E49" s="4" t="str">
        <x:v>Ngoài Phase 1; handoff không nghiệm thu code/job/worker AI.</x:v>
      </x:c>
      <x:c r="F49" s="4" t="str">
        <x:v>Kiểm tra hiện trạng; triển khai job/retry/cancel phù hợp khi được duyệt.</x:v>
      </x:c>
      <x:c r="G49" s="4" t="str">
        <x:v>PHASE_1_HANDOFF.md | 2026-10-06 | HEAD 16f70f6 | L41</x:v>
      </x:c>
      <x:c r="H49" s="4" t="str">
        <x:v>P2</x:v>
      </x:c>
      <x:c r="I49" s="4" t="str">
        <x:v>Mỗi job có input, owner, trạng thái và lỗi có thể truy vết.</x:v>
      </x:c>
      <x:c r="J49" s="20" t="str">
        <x:v>NOT_IMPLEMENTED</x:v>
      </x:c>
      <x:c r="K49" s="20" t="str">
        <x:v>No AI job/queue/worker implementation evidence. Evidence: docs/handoff/final/FINAL_INTEGRATION_HANDOFF.md; docs/handoff/final/BACKEND_BUSINESS_VERIFICATION.md; sync DOC_SYNC_2026-10-07_6ecc851.</x:v>
      </x:c>
    </x:row>
    <x:row r="50" ht="64" customHeight="1">
      <x:c r="A50" s="4" t="str">
        <x:v>AI-02</x:v>
      </x:c>
      <x:c r="B50" s="4" t="str">
        <x:v>06. AI và nhận diện</x:v>
      </x:c>
      <x:c r="C50" s="4" t="str">
        <x:v>YOLOv8s nhận diện người trên cloud/local</x:v>
      </x:c>
      <x:c r="D50" s="18" t="str">
        <x:v>CHUA_XAC_MINH</x:v>
      </x:c>
      <x:c r="E50" s="4" t="str">
        <x:v>Ngoài Phase 1; handoff không nghiệm thu code/job/worker AI.</x:v>
      </x:c>
      <x:c r="F50" s="4" t="str">
        <x:v>Làm luồng worker từ media hợp lệ tới kết quả thật.</x:v>
      </x:c>
      <x:c r="G50" s="4" t="str">
        <x:v>PHASE_1_HANDOFF.md | 2026-10-06 | HEAD 16f70f6 | L41</x:v>
      </x:c>
      <x:c r="H50" s="4" t="str">
        <x:v>P2</x:v>
      </x:c>
      <x:c r="I50" s="4" t="str">
        <x:v>Có output thật của worker, không phải bounding box/tiến độ mock.</x:v>
      </x:c>
      <x:c r="J50" s="20" t="str">
        <x:v>NOT_IMPLEMENTED</x:v>
      </x:c>
      <x:c r="K50" s="20" t="str">
        <x:v>No YOLOv8s cloud/local implementation evidence. Evidence: docs/handoff/final/FINAL_INTEGRATION_HANDOFF.md; docs/handoff/final/BACKEND_BUSINESS_VERIFICATION.md; sync DOC_SYNC_2026-10-07_6ecc851.</x:v>
      </x:c>
    </x:row>
    <x:row r="51" ht="64" customHeight="1">
      <x:c r="A51" s="4" t="str">
        <x:v>AI-03</x:v>
      </x:c>
      <x:c r="B51" s="4" t="str">
        <x:v>06. AI và nhận diện</x:v>
      </x:c>
      <x:c r="C51" s="4" t="str">
        <x:v>KV260 edge và fallback</x:v>
      </x:c>
      <x:c r="D51" s="18" t="str">
        <x:v>CHUA_XAC_MINH</x:v>
      </x:c>
      <x:c r="E51" s="4" t="str">
        <x:v>Ngoài Phase 1; handoff không nghiệm thu code/job/worker AI.</x:v>
      </x:c>
      <x:c r="F51" s="4" t="str">
        <x:v>Kiểm chứng tương thích và chạy trên thiết bị nếu có; báo NOT_VERIFIED nếu chưa có.</x:v>
      </x:c>
      <x:c r="G51" s="4" t="str">
        <x:v>PHASE_1_HANDOFF.md | 2026-10-06 | HEAD 16f70f6 | L41</x:v>
      </x:c>
      <x:c r="H51" s="4" t="str">
        <x:v>P2</x:v>
      </x:c>
      <x:c r="I51" s="4" t="str">
        <x:v>Không báo edge hoàn thành chỉ vì cloud worker chạy được.</x:v>
      </x:c>
      <x:c r="J51" s="20" t="str">
        <x:v>NOT_IMPLEMENTED</x:v>
      </x:c>
      <x:c r="K51" s="20" t="str">
        <x:v>No KV260 edge/fallback implementation evidence. Evidence: docs/handoff/final/FINAL_INTEGRATION_HANDOFF.md; docs/handoff/final/BACKEND_BUSINESS_VERIFICATION.md; sync DOC_SYNC_2026-10-07_6ecc851.</x:v>
      </x:c>
    </x:row>
    <x:row r="52" ht="64" customHeight="1">
      <x:c r="A52" s="4" t="str">
        <x:v>AI-04</x:v>
      </x:c>
      <x:c r="B52" s="4" t="str">
        <x:v>06. AI và nhận diện</x:v>
      </x:c>
      <x:c r="C52" s="4" t="str">
        <x:v>Kết quả ảnh/video, confidence, frame/time</x:v>
      </x:c>
      <x:c r="D52" s="18" t="str">
        <x:v>CHUA_XAC_MINH</x:v>
      </x:c>
      <x:c r="E52" s="4" t="str">
        <x:v>Ngoài Phase 1; handoff không nghiệm thu code/job/worker AI.</x:v>
      </x:c>
      <x:c r="F52" s="4" t="str">
        <x:v>Xác định hợp đồng kết quả và viewer theo media/mission.</x:v>
      </x:c>
      <x:c r="G52" s="4" t="str">
        <x:v>PHASE_1_HANDOFF.md | 2026-10-06 | HEAD 16f70f6 | L41</x:v>
      </x:c>
      <x:c r="H52" s="4" t="str">
        <x:v>P2</x:v>
      </x:c>
      <x:c r="I52" s="4" t="str">
        <x:v>Output gắn đúng job, model và input; có nguồn thời gian/camera khi cần.</x:v>
      </x:c>
      <x:c r="J52" s="20" t="str">
        <x:v>NOT_IMPLEMENTED</x:v>
      </x:c>
      <x:c r="K52" s="20" t="str">
        <x:v>No AI result media/confidence/frame schema implementation evidence. Evidence: docs/handoff/final/FINAL_INTEGRATION_HANDOFF.md; docs/handoff/final/BACKEND_BUSINESS_VERIFICATION.md; sync DOC_SYNC_2026-10-07_6ecc851.</x:v>
      </x:c>
    </x:row>
    <x:row r="53" ht="64" customHeight="1">
      <x:c r="A53" s="4" t="str">
        <x:v>AI-05</x:v>
      </x:c>
      <x:c r="B53" s="4" t="str">
        <x:v>06. AI và nhận diện</x:v>
      </x:c>
      <x:c r="C53" s="4" t="str">
        <x:v>Quyền chạy AI và hạn mức</x:v>
      </x:c>
      <x:c r="D53" s="18" t="str">
        <x:v>CHUA_XAC_MINH</x:v>
      </x:c>
      <x:c r="E53" s="4" t="str">
        <x:v>Ngoài Phase 1; handoff không nghiệm thu code/job/worker AI.</x:v>
      </x:c>
      <x:c r="F53" s="4" t="str">
        <x:v>Nối permission, scope và entitlement/quota theo nghiệp vụ.</x:v>
      </x:c>
      <x:c r="G53" s="4" t="str">
        <x:v>PHASE_1_HANDOFF.md | 2026-10-06 | HEAD 16f70f6 | L41</x:v>
      </x:c>
      <x:c r="H53" s="4" t="str">
        <x:v>P2</x:v>
      </x:c>
      <x:c r="I53" s="4" t="str">
        <x:v>Retry không trừ hạn mức lặp; không tạo job với media không được phép.</x:v>
      </x:c>
      <x:c r="J53" s="20" t="str">
        <x:v>NOT_IMPLEMENTED</x:v>
      </x:c>
      <x:c r="K53" s="20" t="str">
        <x:v>No AI permission/quota implementation evidence. Evidence: docs/handoff/final/FINAL_INTEGRATION_HANDOFF.md; docs/handoff/final/BACKEND_BUSINESS_VERIFICATION.md; sync DOC_SYNC_2026-10-07_6ecc851.</x:v>
      </x:c>
    </x:row>
    <x:row r="54" ht="64" customHeight="1">
      <x:c r="A54" s="4" t="str">
        <x:v>MED-01</x:v>
      </x:c>
      <x:c r="B54" s="4" t="str">
        <x:v>07. Hình ảnh và video</x:v>
      </x:c>
      <x:c r="C54" s="4" t="str">
        <x:v>Cấu trúc chữ ký URL không đưa secret vào URL</x:v>
      </x:c>
      <x:c r="D54" s="18" t="str">
        <x:v>CO_TEST_PHAM_VI_HEP</x:v>
      </x:c>
      <x:c r="E54" s="4" t="str">
        <x:v>S3CompatibleStorageServiceTest xác minh cấu trúc chữ ký và secret.</x:v>
      </x:c>
      <x:c r="F54" s="4" t="str">
        <x:v>Giữ test; chạy tương tác object storage riêng cho test.</x:v>
      </x:c>
      <x:c r="G54" s="4" t="str">
        <x:v>PHASE_1_HANDOFF.md | 2026-10-06 | HEAD 16f70f6 | L38</x:v>
      </x:c>
      <x:c r="H54" s="4" t="str">
        <x:v>P0</x:v>
      </x:c>
      <x:c r="I54" s="4" t="str">
        <x:v>Kiểm tra chữ ký không thay thế bằng chứng upload/download thực.</x:v>
      </x:c>
      <x:c r="J54" s="20" t="str">
        <x:v>VERIFIED</x:v>
      </x:c>
      <x:c r="K54" s="20" t="str">
        <x:v>S3CompatibleStorageServiceTest proves signed URL shape and no secret in URL. Evidence: docs/handoff/final/FINAL_INTEGRATION_HANDOFF.md; docs/handoff/final/BACKEND_BUSINESS_VERIFICATION.md; sync DOC_SYNC_2026-10-07_6ecc851.</x:v>
      </x:c>
    </x:row>
    <x:row r="55" ht="64" customHeight="1">
      <x:c r="A55" s="4" t="str">
        <x:v>MED-02</x:v>
      </x:c>
      <x:c r="B55" s="4" t="str">
        <x:v>07. Hình ảnh và video</x:v>
      </x:c>
      <x:c r="C55" s="4" t="str">
        <x:v>Metadata và signed upload/download URL</x:v>
      </x:c>
      <x:c r="D55" s="18" t="str">
        <x:v>CO_MOT_PHAN</x:v>
      </x:c>
      <x:c r="E55" s="4" t="str">
        <x:v>Đã có API/list và metadata; storage integration thực chưa được chạy.</x:v>
      </x:c>
      <x:c r="F55" s="4" t="str">
        <x:v>Nghiệm thu MinIO/S3-compatible trên môi trường riêng.</x:v>
      </x:c>
      <x:c r="G55" s="4" t="str">
        <x:v>PHASE_1_HANDOFF.md | 2026-10-06 | HEAD 16f70f6 | L38; L92-L97; L243</x:v>
      </x:c>
      <x:c r="H55" s="4" t="str">
        <x:v>P1</x:v>
      </x:c>
      <x:c r="I55" s="4" t="str">
        <x:v>Upload/download thật thành công với object đúng và URL hết hạn.</x:v>
      </x:c>
      <x:c r="J55" s="20" t="str">
        <x:v>PARTIAL</x:v>
      </x:c>
      <x:c r="K55" s="20" t="str">
        <x:v>Metadata and signed URLs plus RustFS S3-compatible run pass; configured MinIO is unverified. Evidence: docs/handoff/final/FINAL_INTEGRATION_HANDOFF.md; docs/handoff/final/BACKEND_BUSINESS_VERIFICATION.md; sync DOC_SYNC_2026-10-07_6ecc851.</x:v>
      </x:c>
    </x:row>
    <x:row r="56" ht="64" customHeight="1">
      <x:c r="A56" s="4" t="str">
        <x:v>MED-03</x:v>
      </x:c>
      <x:c r="B56" s="4" t="str">
        <x:v>07. Hình ảnh và video</x:v>
      </x:c>
      <x:c r="C56" s="4" t="str">
        <x:v>Xác nhận upload</x:v>
      </x:c>
      <x:c r="D56" s="18" t="str">
        <x:v>CHUA_TRIEN_KHAI_THEO_BC</x:v>
      </x:c>
      <x:c r="E56" s="4" t="str">
        <x:v>Không có endpoint confirm-upload trong controller.</x:v>
      </x:c>
      <x:c r="F56" s="4" t="str">
        <x:v>Bổ sung kiểm tra object tồn tại, metadata hợp lệ và trạng thái.</x:v>
      </x:c>
      <x:c r="G56" s="4" t="str">
        <x:v>PHASE_1_HANDOFF.md | 2026-10-06 | HEAD 16f70f6 | L97</x:v>
      </x:c>
      <x:c r="H56" s="4" t="str">
        <x:v>P0</x:v>
      </x:c>
      <x:c r="I56" s="4" t="str">
        <x:v>File chưa upload/không khớp không được coi sẵn sàng để dùng.</x:v>
      </x:c>
      <x:c r="J56" s="20" t="str">
        <x:v>PARTIAL</x:v>
      </x:c>
      <x:c r="K56" s="20" t="str">
        <x:v>Confirm endpoint/object metadata checks and service tests exist; protected MinIO transfer not verified. Evidence: docs/handoff/final/FINAL_INTEGRATION_HANDOFF.md; docs/handoff/final/BACKEND_BUSINESS_VERIFICATION.md; sync DOC_SYNC_2026-10-07_6ecc851.</x:v>
      </x:c>
    </x:row>
    <x:row r="57" ht="64" customHeight="1">
      <x:c r="A57" s="4" t="str">
        <x:v>MED-04</x:v>
      </x:c>
      <x:c r="B57" s="4" t="str">
        <x:v>07. Hình ảnh và video</x:v>
      </x:c>
      <x:c r="C57" s="4" t="str">
        <x:v>Xóa media</x:v>
      </x:c>
      <x:c r="D57" s="18" t="str">
        <x:v>CHUA_TRIEN_KHAI_THEO_BC</x:v>
      </x:c>
      <x:c r="E57" s="4" t="str">
        <x:v>Không có endpoint delete và UI delete.</x:v>
      </x:c>
      <x:c r="F57" s="4" t="str">
        <x:v>Bổ sung chính sách xóa file liên kết, quyền và audit.</x:v>
      </x:c>
      <x:c r="G57" s="4" t="str">
        <x:v>PHASE_1_HANDOFF.md | 2026-10-06 | HEAD 16f70f6 | L38; L97; L172</x:v>
      </x:c>
      <x:c r="H57" s="4" t="str">
        <x:v>P1</x:v>
      </x:c>
      <x:c r="I57" s="4" t="str">
        <x:v>Không xóa tài nguyên người khác hoặc làm hỏng liên kết trái chính sách.</x:v>
      </x:c>
      <x:c r="J57" s="20" t="str">
        <x:v>PARTIAL</x:v>
      </x:c>
      <x:c r="K57" s="20" t="str">
        <x:v>Soft-delete/post-commit cleanup and mission-link guard exist; actual configured storage is unverified. Evidence: docs/handoff/final/FINAL_INTEGRATION_HANDOFF.md; docs/handoff/final/BACKEND_BUSINESS_VERIFICATION.md; sync DOC_SYNC_2026-10-07_6ecc851.</x:v>
      </x:c>
    </x:row>
    <x:row r="58" ht="64" customHeight="1">
      <x:c r="A58" s="4" t="str">
        <x:v>MED-05</x:v>
      </x:c>
      <x:c r="B58" s="4" t="str">
        <x:v>07. Hình ảnh và video</x:v>
      </x:c>
      <x:c r="C58" s="4" t="str">
        <x:v>Ownership và quyền trên tài nguyên liên kết</x:v>
      </x:c>
      <x:c r="D58" s="18" t="str">
        <x:v>CHUA_TRIEN_KHAI_THEO_BC</x:v>
      </x:c>
      <x:c r="E58" s="4" t="str">
        <x:v>Controller chỉ kiểm tra global permission; thiếu owner/resource check.</x:v>
      </x:c>
      <x:c r="F58" s="4" t="str">
        <x:v>Kiểm tra quyền lúc register/link/list/download và thao tác liên quan.</x:v>
      </x:c>
      <x:c r="G58" s="4" t="str">
        <x:v>PHASE_1_HANDOFF.md | 2026-10-06 | HEAD 16f70f6 | L38; L97; L115</x:v>
      </x:c>
      <x:c r="H58" s="4" t="str">
        <x:v>P0</x:v>
      </x:c>
      <x:c r="I58" s="4" t="str">
        <x:v>Đổi media ID hoặc linked entity ID không lấy được file ngoài phạm vi.</x:v>
      </x:c>
      <x:c r="J58" s="20" t="str">
        <x:v>PARTIAL</x:v>
      </x:c>
      <x:c r="K58" s="20" t="str">
        <x:v>Linked-resource/uploader authorization is tested at service level; every HTTP owner combination is unverified. Evidence: docs/handoff/final/FINAL_INTEGRATION_HANDOFF.md; docs/handoff/final/BACKEND_BUSINESS_VERIFICATION.md; sync DOC_SYNC_2026-10-07_6ecc851.</x:v>
      </x:c>
    </x:row>
    <x:row r="59" ht="64" customHeight="1">
      <x:c r="A59" s="4" t="str">
        <x:v>MED-06</x:v>
      </x:c>
      <x:c r="B59" s="4" t="str">
        <x:v>07. Hình ảnh và video</x:v>
      </x:c>
      <x:c r="C59" s="4" t="str">
        <x:v>UI upload/confirm/download/delete</x:v>
      </x:c>
      <x:c r="D59" s="18" t="str">
        <x:v>CHUA_TRIEN_KHAI_THEO_BC</x:v>
      </x:c>
      <x:c r="E59" s="4" t="str">
        <x:v>UI Phase 1 metadata-only.</x:v>
      </x:c>
      <x:c r="F59" s="4" t="str">
        <x:v>Hoàn thiện luồng tương tác thật, error và progress theo API thực.</x:v>
      </x:c>
      <x:c r="G59" s="4" t="str">
        <x:v>PHASE_1_HANDOFF.md | 2026-10-06 | HEAD 16f70f6 | L172</x:v>
      </x:c>
      <x:c r="H59" s="4" t="str">
        <x:v>P1</x:v>
      </x:c>
      <x:c r="I59" s="4" t="str">
        <x:v>Không success toast nếu storage/confirm thất bại.</x:v>
      </x:c>
      <x:c r="J59" s="20" t="str">
        <x:v>PARTIAL</x:v>
      </x:c>
      <x:c r="K59" s="20" t="str">
        <x:v>Frontend lifecycle controls are wired; current audit lacks protected upload/download browser trace. Evidence: docs/handoff/final/FINAL_INTEGRATION_HANDOFF.md; docs/handoff/final/BACKEND_BUSINESS_VERIFICATION.md; sync DOC_SYNC_2026-10-07_6ecc851.</x:v>
      </x:c>
    </x:row>
    <x:row r="60" ht="64" customHeight="1">
      <x:c r="A60" s="4" t="str">
        <x:v>MED-07</x:v>
      </x:c>
      <x:c r="B60" s="4" t="str">
        <x:v>07. Hình ảnh và video</x:v>
      </x:c>
      <x:c r="C60" s="4" t="str">
        <x:v>Liên kết dữ liệu đầu vào/đầu ra AI</x:v>
      </x:c>
      <x:c r="D60" s="18" t="str">
        <x:v>CHUA_XAC_MINH</x:v>
      </x:c>
      <x:c r="E60" s="4" t="str">
        <x:v>Có metadata linked entity chung; chưa có nghiệm thu pipeline AI.</x:v>
      </x:c>
      <x:c r="F60" s="4" t="str">
        <x:v>Chốt contract với AI sau khi Media riêng tư hoạt động.</x:v>
      </x:c>
      <x:c r="G60" s="4" t="str">
        <x:v>PHASE_1_HANDOFF.md | 2026-10-06 | HEAD 16f70f6 | L133; L41</x:v>
      </x:c>
      <x:c r="H60" s="4" t="str">
        <x:v>P2</x:v>
      </x:c>
      <x:c r="I60" s="4" t="str">
        <x:v>Mỗi kết quả liên kết đúng input/job/owner và tuân quyền.</x:v>
      </x:c>
      <x:c r="J60" s="20" t="str">
        <x:v>NOT_IMPLEMENTED</x:v>
      </x:c>
      <x:c r="K60" s="20" t="str">
        <x:v>AI input/output linkage cannot be verified because AI module is not implemented. Evidence: docs/handoff/final/FINAL_INTEGRATION_HANDOFF.md; docs/handoff/final/BACKEND_BUSINESS_VERIFICATION.md; sync DOC_SYNC_2026-10-07_6ecc851.</x:v>
      </x:c>
    </x:row>
    <x:row r="61" ht="64" customHeight="1">
      <x:c r="A61" s="4" t="str">
        <x:v>PAY-01</x:v>
      </x:c>
      <x:c r="B61" s="4" t="str">
        <x:v>08. Thanh toán và dịch vụ</x:v>
      </x:c>
      <x:c r="C61" s="4" t="str">
        <x:v>Gói dịch vụ và quyền sử dụng</x:v>
      </x:c>
      <x:c r="D61" s="18" t="str">
        <x:v>CHUA_XAC_MINH</x:v>
      </x:c>
      <x:c r="E61" s="4" t="str">
        <x:v>Payment được đánh dấu OUT_OF_SCOPE trong handoff Phase 1; chưa có nghiệm thu riêng.</x:v>
      </x:c>
      <x:c r="F61" s="4" t="str">
        <x:v>Tách catalog dịch vụ Mission khỏi gói trả phí; kiểm tra code trước.</x:v>
      </x:c>
      <x:c r="G61" s="4" t="str">
        <x:v>PHASE_1_HANDOFF.md | 2026-10-06 | HEAD 16f70f6 | L41</x:v>
      </x:c>
      <x:c r="H61" s="4" t="str">
        <x:v>P2</x:v>
      </x:c>
      <x:c r="I61" s="4" t="str">
        <x:v>Gói có điều kiện và trạng thái hiệu lực, không đồng nhất role với gói.</x:v>
      </x:c>
      <x:c r="J61" s="20" t="str">
        <x:v>NOT_IMPLEMENTED</x:v>
      </x:c>
      <x:c r="K61" s="20" t="str">
        <x:v>No package/entitlement implementation evidence. Evidence: docs/handoff/final/FINAL_INTEGRATION_HANDOFF.md; docs/handoff/final/BACKEND_BUSINESS_VERIFICATION.md; sync DOC_SYNC_2026-10-07_6ecc851.</x:v>
      </x:c>
    </x:row>
    <x:row r="62" ht="64" customHeight="1">
      <x:c r="A62" s="4" t="str">
        <x:v>PAY-02</x:v>
      </x:c>
      <x:c r="B62" s="4" t="str">
        <x:v>08. Thanh toán và dịch vụ</x:v>
      </x:c>
      <x:c r="C62" s="4" t="str">
        <x:v>Đơn thanh toán và hóa đơn/chứng từ trong ứng dụng</x:v>
      </x:c>
      <x:c r="D62" s="18" t="str">
        <x:v>CHUA_XAC_MINH</x:v>
      </x:c>
      <x:c r="E62" s="4" t="str">
        <x:v>Payment được đánh dấu OUT_OF_SCOPE trong handoff Phase 1; chưa có nghiệm thu riêng.</x:v>
      </x:c>
      <x:c r="F62" s="4" t="str">
        <x:v>Định nghĩa đơn và trạng thái; chưa giả định đã tích hợp hóa đơn điện tử.</x:v>
      </x:c>
      <x:c r="G62" s="4" t="str">
        <x:v>PHASE_1_HANDOFF.md | 2026-10-06 | HEAD 16f70f6 | L41</x:v>
      </x:c>
      <x:c r="H62" s="4" t="str">
        <x:v>P2</x:v>
      </x:c>
      <x:c r="I62" s="4" t="str">
        <x:v>Mỗi đơn có chủ sở hữu, giá trị và quan hệ dịch vụ rõ.</x:v>
      </x:c>
      <x:c r="J62" s="20" t="str">
        <x:v>NOT_IMPLEMENTED</x:v>
      </x:c>
      <x:c r="K62" s="20" t="str">
        <x:v>No payment order/invoice implementation evidence. Evidence: docs/handoff/final/FINAL_INTEGRATION_HANDOFF.md; docs/handoff/final/BACKEND_BUSINESS_VERIFICATION.md; sync DOC_SYNC_2026-10-07_6ecc851.</x:v>
      </x:c>
    </x:row>
    <x:row r="63" ht="64" customHeight="1">
      <x:c r="A63" s="4" t="str">
        <x:v>PAY-03</x:v>
      </x:c>
      <x:c r="B63" s="4" t="str">
        <x:v>08. Thanh toán và dịch vụ</x:v>
      </x:c>
      <x:c r="C63" s="4" t="str">
        <x:v>Thanh toán mock/sandbox hoặc provider</x:v>
      </x:c>
      <x:c r="D63" s="18" t="str">
        <x:v>CHUA_XAC_MINH</x:v>
      </x:c>
      <x:c r="E63" s="4" t="str">
        <x:v>Payment được đánh dấu OUT_OF_SCOPE trong handoff Phase 1; chưa có nghiệm thu riêng.</x:v>
      </x:c>
      <x:c r="F63" s="4" t="str">
        <x:v>Triển khai môi trường test và callback được kiểm tra.</x:v>
      </x:c>
      <x:c r="G63" s="4" t="str">
        <x:v>PHASE_1_HANDOFF.md | 2026-10-06 | HEAD 16f70f6 | L41</x:v>
      </x:c>
      <x:c r="H63" s="4" t="str">
        <x:v>P2</x:v>
      </x:c>
      <x:c r="I63" s="4" t="str">
        <x:v>Không coi redirect thành công ở frontend là đã thanh toán.</x:v>
      </x:c>
      <x:c r="J63" s="20" t="str">
        <x:v>NOT_IMPLEMENTED</x:v>
      </x:c>
      <x:c r="K63" s="20" t="str">
        <x:v>No provider mock/sandbox implementation evidence. Evidence: docs/handoff/final/FINAL_INTEGRATION_HANDOFF.md; docs/handoff/final/BACKEND_BUSINESS_VERIFICATION.md; sync DOC_SYNC_2026-10-07_6ecc851.</x:v>
      </x:c>
    </x:row>
    <x:row r="64" ht="64" customHeight="1">
      <x:c r="A64" s="4" t="str">
        <x:v>PAY-04</x:v>
      </x:c>
      <x:c r="B64" s="4" t="str">
        <x:v>08. Thanh toán và dịch vụ</x:v>
      </x:c>
      <x:c r="C64" s="4" t="str">
        <x:v>Webhook chống xử lý trùng và đối soát</x:v>
      </x:c>
      <x:c r="D64" s="18" t="str">
        <x:v>CHUA_XAC_MINH</x:v>
      </x:c>
      <x:c r="E64" s="4" t="str">
        <x:v>Payment được đánh dấu OUT_OF_SCOPE trong handoff Phase 1; chưa có nghiệm thu riêng.</x:v>
      </x:c>
      <x:c r="F64" s="4" t="str">
        <x:v>Chốt trạng thái và phép chuyển, xử lý sự kiện lặp/thất bại.</x:v>
      </x:c>
      <x:c r="G64" s="4" t="str">
        <x:v>PHASE_1_HANDOFF.md | 2026-10-06 | HEAD 16f70f6 | L41</x:v>
      </x:c>
      <x:c r="H64" s="4" t="str">
        <x:v>P2</x:v>
      </x:c>
      <x:c r="I64" s="4" t="str">
        <x:v>Một sự kiện không kích hoạt dịch vụ hai lần; lỗi có lịch sử.</x:v>
      </x:c>
      <x:c r="J64" s="20" t="str">
        <x:v>NOT_IMPLEMENTED</x:v>
      </x:c>
      <x:c r="K64" s="20" t="str">
        <x:v>No webhook/idempotency implementation evidence. Evidence: docs/handoff/final/FINAL_INTEGRATION_HANDOFF.md; docs/handoff/final/BACKEND_BUSINESS_VERIFICATION.md; sync DOC_SYNC_2026-10-07_6ecc851.</x:v>
      </x:c>
    </x:row>
    <x:row r="65" ht="64" customHeight="1">
      <x:c r="A65" s="4" t="str">
        <x:v>PAY-05</x:v>
      </x:c>
      <x:c r="B65" s="4" t="str">
        <x:v>08. Thanh toán và dịch vụ</x:v>
      </x:c>
      <x:c r="C65" s="4" t="str">
        <x:v>Quota, giữ/trừ/hoàn hạn mức</x:v>
      </x:c>
      <x:c r="D65" s="18" t="str">
        <x:v>CHUA_XAC_MINH</x:v>
      </x:c>
      <x:c r="E65" s="4" t="str">
        <x:v>Payment được đánh dấu OUT_OF_SCOPE trong handoff Phase 1; chưa có nghiệm thu riêng.</x:v>
      </x:c>
      <x:c r="F65" s="4" t="str">
        <x:v>Định nghĩa đơn vị, sổ biến động và quy tắc hoàn theo nghiệp vụ.</x:v>
      </x:c>
      <x:c r="G65" s="4" t="str">
        <x:v>PHASE_1_HANDOFF.md | 2026-10-06 | HEAD 16f70f6 | L41</x:v>
      </x:c>
      <x:c r="H65" s="4" t="str">
        <x:v>P2</x:v>
      </x:c>
      <x:c r="I65" s="4" t="str">
        <x:v>Không trừ âm, không trừ hai lần khi retry; quyền thao tác không tự thêm quota.</x:v>
      </x:c>
      <x:c r="J65" s="20" t="str">
        <x:v>NOT_IMPLEMENTED</x:v>
      </x:c>
      <x:c r="K65" s="20" t="str">
        <x:v>No quota ledger implementation evidence. Evidence: docs/handoff/final/FINAL_INTEGRATION_HANDOFF.md; docs/handoff/final/BACKEND_BUSINESS_VERIFICATION.md; sync DOC_SYNC_2026-10-07_6ecc851.</x:v>
      </x:c>
    </x:row>
    <x:row r="66" ht="64" customHeight="1">
      <x:c r="A66" s="4" t="str">
        <x:v>LEARN-01</x:v>
      </x:c>
      <x:c r="B66" s="4" t="str">
        <x:v>09. Đào tạo trực tuyến</x:v>
      </x:c>
      <x:c r="C66" s="4" t="str">
        <x:v>Khóa/chương/bài, đăng ký học, tiến độ</x:v>
      </x:c>
      <x:c r="D66" s="18" t="str">
        <x:v>TAM_HOAN</x:v>
      </x:c>
      <x:c r="E66" s="4" t="str">
        <x:v>Người dùng quyết định chưa tích hợp; handoff cũng loại khỏi Phase 1.</x:v>
      </x:c>
      <x:c r="F66" s="4" t="str">
        <x:v>Giữ ở future backlog; không tạo menu/quyền chức năng giả.</x:v>
      </x:c>
      <x:c r="G66" s="4" t="str">
        <x:v>PHASE_1_HANDOFF.md | 2026-10-06 | HEAD 16f70f6 | L41 + quyết định người dùng trong hội thoại</x:v>
      </x:c>
      <x:c r="H66" s="4" t="str">
        <x:v>DEFER</x:v>
      </x:c>
      <x:c r="I66" s="4" t="str">
        <x:v>Không tính vào Definition of Done của 10 module đang triển khai.</x:v>
      </x:c>
      <x:c r="J66" s="20" t="str">
        <x:v>DEFERRED</x:v>
      </x:c>
      <x:c r="K66" s="20" t="str">
        <x:v>Scope decision keeps E-Learning deferred; do not reactivate from historical BA text. Evidence: docs/handoff/final/FINAL_INTEGRATION_HANDOFF.md; docs/handoff/final/BACKEND_BUSINESS_VERIFICATION.md; sync DOC_SYNC_2026-10-07_6ecc851.</x:v>
      </x:c>
    </x:row>
    <x:row r="67" ht="64" customHeight="1">
      <x:c r="A67" s="4" t="str">
        <x:v>CERT-01</x:v>
      </x:c>
      <x:c r="B67" s="4" t="str">
        <x:v>10. Chứng nhận năng lực</x:v>
      </x:c>
      <x:c r="C67" s="4" t="str">
        <x:v>Quiz, bài tập, chấm bài, chứng nhận</x:v>
      </x:c>
      <x:c r="D67" s="18" t="str">
        <x:v>TAM_HOAN</x:v>
      </x:c>
      <x:c r="E67" s="4" t="str">
        <x:v>Người dùng quyết định chưa tích hợp; handoff cũng loại khỏi Phase 1.</x:v>
      </x:c>
      <x:c r="F67" s="4" t="str">
        <x:v>Giữ ở future backlog; không chặn nhiệm vụ bằng chứng nhận chưa có.</x:v>
      </x:c>
      <x:c r="G67" s="4" t="str">
        <x:v>PHASE_1_HANDOFF.md | 2026-10-06 | HEAD 16f70f6 | L41 + quyết định người dùng trong hội thoại</x:v>
      </x:c>
      <x:c r="H67" s="4" t="str">
        <x:v>DEFER</x:v>
      </x:c>
      <x:c r="I67" s="4" t="str">
        <x:v>Không tính vào Definition of Done của 10 module đang triển khai.</x:v>
      </x:c>
      <x:c r="J67" s="20" t="str">
        <x:v>DEFERRED</x:v>
      </x:c>
      <x:c r="K67" s="20" t="str">
        <x:v>Scope decision keeps Assessment/Certificates deferred; do not reactivate from historical BA text. Evidence: docs/handoff/final/FINAL_INTEGRATION_HANDOFF.md; docs/handoff/final/BACKEND_BUSINESS_VERIFICATION.md; sync DOC_SYNC_2026-10-07_6ecc851.</x:v>
      </x:c>
    </x:row>
    <x:row r="68" ht="64" customHeight="1">
      <x:c r="A68" s="4" t="str">
        <x:v>AUD-01</x:v>
      </x:c>
      <x:c r="B68" s="4" t="str">
        <x:v>11. Thông báo và nhật ký</x:v>
      </x:c>
      <x:c r="C68" s="4" t="str">
        <x:v>Ghi audit cho thao tác đại diện</x:v>
      </x:c>
      <x:c r="D68" s="18" t="str">
        <x:v>CO_TEST_PHAM_VI_HEP</x:v>
      </x:c>
      <x:c r="E68" s="4" t="str">
        <x:v>Unit tests xác minh audit calls ở station/inventory và đường đi khác.</x:v>
      </x:c>
      <x:c r="F68" s="4" t="str">
        <x:v>Giữ test; phân biệt gọi audit service với nghiệm thu lưu trữ toàn luồng.</x:v>
      </x:c>
      <x:c r="G68" s="4" t="str">
        <x:v>PHASE_1_HANDOFF.md | 2026-10-06 | HEAD 16f70f6 | L40; L197</x:v>
      </x:c>
      <x:c r="H68" s="4" t="str">
        <x:v>P1</x:v>
      </x:c>
      <x:c r="I68" s="4" t="str">
        <x:v>Test không hồi quy; event quan trọng truy vết được.</x:v>
      </x:c>
      <x:c r="J68" s="20" t="str">
        <x:v>VERIFIED</x:v>
      </x:c>
      <x:c r="K68" s="20" t="str">
        <x:v>Representative auth/access/station/UAV/inventory/media/mission audit writes are covered by tests. Evidence: docs/handoff/final/FINAL_INTEGRATION_HANDOFF.md; docs/handoff/final/BACKEND_BUSINESS_VERIFICATION.md; sync DOC_SYNC_2026-10-07_6ecc851.</x:v>
      </x:c>
    </x:row>
    <x:row r="69" ht="64" customHeight="1">
      <x:c r="A69" s="4" t="str">
        <x:v>AUD-02</x:v>
      </x:c>
      <x:c r="B69" s="4" t="str">
        <x:v>11. Thông báo và nhật ký</x:v>
      </x:c>
      <x:c r="C69" s="4" t="str">
        <x:v>API và UI danh sách Audit</x:v>
      </x:c>
      <x:c r="D69" s="18" t="str">
        <x:v>CO_MOT_PHAN</x:v>
      </x:c>
      <x:c r="E69" s="4" t="str">
        <x:v>Có AUDIT_READ, pagination và Audit tab trong /operations.</x:v>
      </x:c>
      <x:c r="F69" s="4" t="str">
        <x:v>Hoàn thiện filter/table/detail theo dữ liệu thật.</x:v>
      </x:c>
      <x:c r="G69" s="4" t="str">
        <x:v>PHASE_1_HANDOFF.md | 2026-10-06 | HEAD 16f70f6 | L40; L103; L172</x:v>
      </x:c>
      <x:c r="H69" s="4" t="str">
        <x:v>P1</x:v>
      </x:c>
      <x:c r="I69" s="4" t="str">
        <x:v>Chỉ đọc đúng phạm vi, không suy diễn before/after từ chuỗi tự do.</x:v>
      </x:c>
      <x:c r="J69" s="20" t="str">
        <x:v>IMPLEMENTED_NOT_VERIFIED</x:v>
      </x:c>
      <x:c r="K69" s="20" t="str">
        <x:v>Audit API and operations tab exist; UI/runtime list evidence is source/build only. Evidence: docs/handoff/final/FINAL_INTEGRATION_HANDOFF.md; docs/handoff/final/BACKEND_BUSINESS_VERIFICATION.md; sync DOC_SYNC_2026-10-07_6ecc851.</x:v>
      </x:c>
    </x:row>
    <x:row r="70" ht="64" customHeight="1">
      <x:c r="A70" s="4" t="str">
        <x:v>AUD-03</x:v>
      </x:c>
      <x:c r="B70" s="4" t="str">
        <x:v>11. Thông báo và nhật ký</x:v>
      </x:c>
      <x:c r="C70" s="4" t="str">
        <x:v>Bảo vệ lịch sử khỏi chỉnh sửa và coverage xuyên module</x:v>
      </x:c>
      <x:c r="D70" s="18" t="str">
        <x:v>CHUA_XAC_MINH</x:v>
      </x:c>
      <x:c r="E70" s="4" t="str">
        <x:v>Báo cáo không chứng minh immutable storage; thiếu E2E audit đầy đủ.</x:v>
      </x:c>
      <x:c r="F70" s="4" t="str">
        <x:v>Xác minh quyền database, đường sửa/xóa và chính sách lưu giữ.</x:v>
      </x:c>
      <x:c r="G70" s="4" t="str">
        <x:v>PHASE_1_HANDOFF.md | 2026-10-06 | HEAD 16f70f6 | L40; L197</x:v>
      </x:c>
      <x:c r="H70" s="4" t="str">
        <x:v>P1</x:v>
      </x:c>
      <x:c r="I70" s="4" t="str">
        <x:v>Không tuyên bố nhật ký bất biến nếu chưa có kiểm chứng tương ứng.</x:v>
      </x:c>
      <x:c r="J70" s="20" t="str">
        <x:v>PARTIAL</x:v>
      </x:c>
      <x:c r="K70" s="20" t="str">
        <x:v>Audit capture/read exists; append-only storage and complete event coverage remain unverified. Evidence: docs/handoff/final/FINAL_INTEGRATION_HANDOFF.md; docs/handoff/final/BACKEND_BUSINESS_VERIFICATION.md; sync DOC_SYNC_2026-10-07_6ecc851.</x:v>
      </x:c>
    </x:row>
    <x:row r="71" ht="64" customHeight="1">
      <x:c r="A71" s="4" t="str">
        <x:v>NOTI-01</x:v>
      </x:c>
      <x:c r="B71" s="4" t="str">
        <x:v>11. Thông báo và nhật ký</x:v>
      </x:c>
      <x:c r="C71" s="4" t="str">
        <x:v>Thông báo trong hệ thống, đọc/chưa đọc</x:v>
      </x:c>
      <x:c r="D71" s="18" t="str">
        <x:v>CHUA_XAC_MINH</x:v>
      </x:c>
      <x:c r="E71" s="4" t="str">
        <x:v>Handoff không mô tả module/inbox notification riêng.</x:v>
      </x:c>
      <x:c r="F71" s="4" t="str">
        <x:v>Kiểm tra hiện trạng; xây thông báo đúng recipient khi phạm vi được duyệt.</x:v>
      </x:c>
      <x:c r="G71" s="4" t="str">
        <x:v>PHASE_1_HANDOFF.md | 2026-10-06 | HEAD 16f70f6 | L15-L24; L40</x:v>
      </x:c>
      <x:c r="H71" s="4" t="str">
        <x:v>P2</x:v>
      </x:c>
      <x:c r="I71" s="4" t="str">
        <x:v>Sự kiện gửi đúng người; không lộ thông tin nhiệm vụ ngoài scope.</x:v>
      </x:c>
      <x:c r="J71" s="20" t="str">
        <x:v>NOT_IMPLEMENTED</x:v>
      </x:c>
      <x:c r="K71" s="20" t="str">
        <x:v>Final source inventory found no notification entity/controller/service. Evidence: docs/handoff/final/FINAL_INTEGRATION_HANDOFF.md; docs/handoff/final/BACKEND_BUSINESS_VERIFICATION.md; sync DOC_SYNC_2026-10-07_6ecc851.</x:v>
      </x:c>
    </x:row>
    <x:row r="72" ht="64" customHeight="1">
      <x:c r="A72" s="4" t="str">
        <x:v>NOTI-02</x:v>
      </x:c>
      <x:c r="B72" s="4" t="str">
        <x:v>11. Thông báo và nhật ký</x:v>
      </x:c>
      <x:c r="C72" s="4" t="str">
        <x:v>Nhắc việc và chống gửi thông báo trùng</x:v>
      </x:c>
      <x:c r="D72" s="18" t="str">
        <x:v>CHUA_XAC_MINH</x:v>
      </x:c>
      <x:c r="E72" s="4" t="str">
        <x:v>Không có bằng chứng triển khai/nghiệm thu trong handoff.</x:v>
      </x:c>
      <x:c r="F72" s="4" t="str">
        <x:v>Chốt sự kiện thông báo và cơ chế retry; email/push chỉ khi được duyệt.</x:v>
      </x:c>
      <x:c r="G72" s="4" t="str">
        <x:v>PHASE_1_HANDOFF.md | 2026-10-06 | HEAD 16f70f6 | L15-L24; L40</x:v>
      </x:c>
      <x:c r="H72" s="4" t="str">
        <x:v>P2</x:v>
      </x:c>
      <x:c r="I72" s="4" t="str">
        <x:v>Retry không tạo nhiều thông báo cho cùng một sự kiện nghiệp vụ.</x:v>
      </x:c>
      <x:c r="J72" s="20" t="str">
        <x:v>NOT_IMPLEMENTED</x:v>
      </x:c>
      <x:c r="K72" s="20" t="str">
        <x:v>No notification reminder/deduplication implementation evidence. Evidence: docs/handoff/final/FINAL_INTEGRATION_HANDOFF.md; docs/handoff/final/BACKEND_BUSINESS_VERIFICATION.md; sync DOC_SYNC_2026-10-07_6ecc851.</x:v>
      </x:c>
    </x:row>
    <x:row r="73" ht="64" customHeight="1">
      <x:c r="A73" s="4" t="str">
        <x:v>DASH-01</x:v>
      </x:c>
      <x:c r="B73" s="4" t="str">
        <x:v>12. Quản trị và báo cáo</x:v>
      </x:c>
      <x:c r="C73" s="4" t="str">
        <x:v>Thống kê tài nguyên và Mission cơ bản</x:v>
      </x:c>
      <x:c r="D73" s="18" t="str">
        <x:v>CO_MOT_PHAN</x:v>
      </x:c>
      <x:c r="E73" s="4" t="str">
        <x:v>Có endpoint summary permission-aware và mission metrics; có focused unit evidence.</x:v>
      </x:c>
      <x:c r="F73" s="4" t="str">
        <x:v>Nghiệm thu số liệu thật theo scope và bộ lọc.</x:v>
      </x:c>
      <x:c r="G73" s="4" t="str">
        <x:v>PHASE_1_HANDOFF.md | 2026-10-06 | HEAD 16f70f6 | L39; L101-L103</x:v>
      </x:c>
      <x:c r="H73" s="4" t="str">
        <x:v>P1</x:v>
      </x:c>
      <x:c r="I73" s="4" t="str">
        <x:v>Số liệu khớp nguồn, phân biệt tổng hệ thống/kết quả lọc.</x:v>
      </x:c>
      <x:c r="J73" s="20" t="str">
        <x:v>PARTIAL</x:v>
      </x:c>
      <x:c r="K73" s="20" t="str">
        <x:v>Permission-filtered resource/mission metrics and tests exist; populated authenticated runtime counts are incomplete. Evidence: docs/handoff/final/FINAL_INTEGRATION_HANDOFF.md; docs/handoff/final/BACKEND_BUSINESS_VERIFICATION.md; sync DOC_SYNC_2026-10-07_6ecc851.</x:v>
      </x:c>
    </x:row>
    <x:row r="74" ht="64" customHeight="1">
      <x:c r="A74" s="4" t="str">
        <x:v>DASH-02</x:v>
      </x:c>
      <x:c r="B74" s="4" t="str">
        <x:v>12. Quản trị và báo cáo</x:v>
      </x:c>
      <x:c r="C74" s="4" t="str">
        <x:v>Quyền truy cập Dashboard/metric</x:v>
      </x:c>
      <x:c r="D74" s="18" t="str">
        <x:v>CO_MOT_PHAN</x:v>
      </x:c>
      <x:c r="E74" s="4" t="str">
        <x:v>DASHBOARD_READ và DASHBOARD_MISSION tồn tại, counts lọc theo quyền.</x:v>
      </x:c>
      <x:c r="F74" s="4" t="str">
        <x:v>Test API không chỉ kiểm tra ẩn widget.</x:v>
      </x:c>
      <x:c r="G74" s="4" t="str">
        <x:v>PHASE_1_HANDOFF.md | 2026-10-06 | HEAD 16f70f6 | L39; L101-L103</x:v>
      </x:c>
      <x:c r="H74" s="4" t="str">
        <x:v>P0</x:v>
      </x:c>
      <x:c r="I74" s="4" t="str">
        <x:v>Không xem tổng/chi tiết ngoài quyền qua request trực tiếp.</x:v>
      </x:c>
      <x:c r="J74" s="20" t="str">
        <x:v>PARTIAL</x:v>
      </x:c>
      <x:c r="K74" s="20" t="str">
        <x:v>Backend permission checks and access integration exist; full direct API role/scope matrix is unverified. Evidence: docs/handoff/final/FINAL_INTEGRATION_HANDOFF.md; docs/handoff/final/BACKEND_BUSINESS_VERIFICATION.md; sync DOC_SYNC_2026-10-07_6ecc851.</x:v>
      </x:c>
    </x:row>
    <x:row r="75" ht="64" customHeight="1">
      <x:c r="A75" s="4" t="str">
        <x:v>REP-01</x:v>
      </x:c>
      <x:c r="B75" s="4" t="str">
        <x:v>12. Quản trị và báo cáo</x:v>
      </x:c>
      <x:c r="C75" s="4" t="str">
        <x:v>Báo cáo quản lý chi tiết và xuất dữ liệu</x:v>
      </x:c>
      <x:c r="D75" s="18" t="str">
        <x:v>CHUA_XAC_MINH</x:v>
      </x:c>
      <x:c r="E75" s="4" t="str">
        <x:v>Handoff không chứng minh báo cáo/xuất hoàn chỉnh.</x:v>
      </x:c>
      <x:c r="F75" s="4" t="str">
        <x:v>Chốt báo cáo thật cần dùng và quyền export trước khi tạo UI.</x:v>
      </x:c>
      <x:c r="G75" s="4" t="str">
        <x:v>PHASE_1_HANDOFF.md | 2026-10-06 | HEAD 16f70f6 | L39; L101-L105</x:v>
      </x:c>
      <x:c r="H75" s="4" t="str">
        <x:v>P2</x:v>
      </x:c>
      <x:c r="I75" s="4" t="str">
        <x:v>Không xuất vượt phạm vi hoặc lẫn dữ liệu các tài khoản.</x:v>
      </x:c>
      <x:c r="J75" s="20" t="str">
        <x:v>NOT_IMPLEMENTED</x:v>
      </x:c>
      <x:c r="K75" s="20" t="str">
        <x:v>No complete management-report/export workflow is evidenced. Evidence: docs/handoff/final/FINAL_INTEGRATION_HANDOFF.md; docs/handoff/final/BACKEND_BUSINESS_VERIFICATION.md; sync DOC_SYNC_2026-10-07_6ecc851.</x:v>
      </x:c>
    </x:row>
    <x:row r="76" ht="64" customHeight="1">
      <x:c r="A76" s="4" t="str">
        <x:v>CFG-01</x:v>
      </x:c>
      <x:c r="B76" s="4" t="str">
        <x:v>12. Quản trị và báo cáo</x:v>
      </x:c>
      <x:c r="C76" s="4" t="str">
        <x:v>Cấu hình hệ thống</x:v>
      </x:c>
      <x:c r="D76" s="18" t="str">
        <x:v>CHUA_XAC_MINH</x:v>
      </x:c>
      <x:c r="E76" s="4" t="str">
        <x:v>Chưa có mô tả cấu hình quản trị đầy đủ trong handoff.</x:v>
      </x:c>
      <x:c r="F76" s="4" t="str">
        <x:v>Xác định cấu hình cần quản lý; không tạo trang giả để đủ menu.</x:v>
      </x:c>
      <x:c r="G76" s="4" t="str">
        <x:v>PHASE_1_HANDOFF.md | 2026-10-06 | HEAD 16f70f6 | L15-L24; L39</x:v>
      </x:c>
      <x:c r="H76" s="4" t="str">
        <x:v>P2</x:v>
      </x:c>
      <x:c r="I76" s="4" t="str">
        <x:v>Cấu hình hợp lệ, có quyền/audit; không lộ secrets trên UI.</x:v>
      </x:c>
      <x:c r="J76" s="20" t="str">
        <x:v>NOT_IMPLEMENTED</x:v>
      </x:c>
      <x:c r="K76" s="20" t="str">
        <x:v>No complete administrative configuration surface is evidenced. Evidence: docs/handoff/final/FINAL_INTEGRATION_HANDOFF.md; docs/handoff/final/BACKEND_BUSINESS_VERIFICATION.md; sync DOC_SYNC_2026-10-07_6ecc851.</x:v>
      </x:c>
    </x:row>
    <x:row r="77" ht="64" customHeight="1">
      <x:c r="A77" s="4" t="str">
        <x:v>TECH-01</x:v>
      </x:c>
      <x:c r="B77" s="4" t="str">
        <x:v>Nền tảng dùng chung</x:v>
      </x:c>
      <x:c r="C77" s="4" t="str">
        <x:v>Backend 138 tests, frontend lint/build</x:v>
      </x:c>
      <x:c r="D77" s="18" t="str">
        <x:v>CO_TEST_PHAM_VI_HEP</x:v>
      </x:c>
      <x:c r="E77" s="4" t="str">
        <x:v>Báo cáo ghi 138 pass, H2; lint/build pass. Không phải tất cả tính năng đã nghiệm thu.</x:v>
      </x:c>
      <x:c r="F77" s="4" t="str">
        <x:v>Chạy lại ở HEAD mới và giữ logs.</x:v>
      </x:c>
      <x:c r="G77" s="4" t="str">
        <x:v>PHASE_1_HANDOFF.md | 2026-10-06 | HEAD 16f70f6 | L180-L186</x:v>
      </x:c>
      <x:c r="H77" s="4" t="str">
        <x:v>P0</x:v>
      </x:c>
      <x:c r="I77" s="4" t="str">
        <x:v>Tách môi trường H2/PostgreSQL, unit/integration/E2E và skipped.</x:v>
      </x:c>
      <x:c r="J77" s="20" t="str">
        <x:v>VERIFIED</x:v>
      </x:c>
      <x:c r="K77" s="20" t="str">
        <x:v>HEAD 6ecc851: backend 204 pass/0 fail/0 error/6 skip; frontend test/typecheck/lint/build pass. Evidence: docs/handoff/final/FINAL_INTEGRATION_HANDOFF.md; docs/handoff/final/BACKEND_BUSINESS_VERIFICATION.md; sync DOC_SYNC_2026-10-07_6ecc851.</x:v>
      </x:c>
    </x:row>
    <x:row r="78" ht="64" customHeight="1">
      <x:c r="A78" s="4" t="str">
        <x:v>TECH-02</x:v>
      </x:c>
      <x:c r="B78" s="4" t="str">
        <x:v>Nền tảng dùng chung</x:v>
      </x:c>
      <x:c r="C78" s="4" t="str">
        <x:v>Versioned database migrations</x:v>
      </x:c>
      <x:c r="D78" s="18" t="str">
        <x:v>CHUA_TRIEN_KHAI_THEO_BC</x:v>
      </x:c>
      <x:c r="E78" s="4" t="str">
        <x:v>Hibernate ddl-auto=update và compatibility runner; không có Flyway/Liquibase migration directory.</x:v>
      </x:c>
      <x:c r="F78" s="4" t="str">
        <x:v>Thiết lập baseline dựa schema thật, kiểm tra dữ liệu mẫu và bảng Mission đã có.</x:v>
      </x:c>
      <x:c r="G78" s="4" t="str">
        <x:v>PHASE_1_HANDOFF.md | 2026-10-06 | HEAD 16f70f6 | L26; L226</x:v>
      </x:c>
      <x:c r="H78" s="4" t="str">
        <x:v>P0</x:v>
      </x:c>
      <x:c r="I78" s="4" t="str">
        <x:v>Database mới/nâng cấp chạy đúng, không reset dữ liệu hoặc tạo bảng trùng.</x:v>
      </x:c>
      <x:c r="J78" s="20" t="str">
        <x:v>VERIFIED</x:v>
      </x:c>
      <x:c r="K78" s="20" t="str">
        <x:v>Flyway V1/V2 and populated-copy rehearsal pass on H2/disposable PostgreSQL; default profile still permits ddl-auto=update. Evidence: docs/handoff/final/FINAL_INTEGRATION_HANDOFF.md; docs/handoff/final/BACKEND_BUSINESS_VERIFICATION.md; sync DOC_SYNC_2026-10-07_6ecc851.</x:v>
      </x:c>
    </x:row>
    <x:row r="79" ht="64" customHeight="1">
      <x:c r="A79" s="4" t="str">
        <x:v>TECH-03</x:v>
      </x:c>
      <x:c r="B79" s="4" t="str">
        <x:v>Nền tảng dùng chung</x:v>
      </x:c>
      <x:c r="C79" s="4" t="str">
        <x:v>PostgreSQL/MinIO runtime, health và OpenAPI export</x:v>
      </x:c>
      <x:c r="D79" s="18" t="str">
        <x:v>CHUA_XAC_MINH</x:v>
      </x:c>
      <x:c r="E79" s="4" t="str">
        <x:v>Chưa chạy live backend/storage; chưa có OpenAPI export.</x:v>
      </x:c>
      <x:c r="F79" s="4" t="str">
        <x:v>Tạo môi trường test riêng và xuất contract thật.</x:v>
      </x:c>
      <x:c r="G79" s="4" t="str">
        <x:v>PHASE_1_HANDOFF.md | 2026-10-06 | HEAD 16f70f6 | L183-L199</x:v>
      </x:c>
      <x:c r="H79" s="4" t="str">
        <x:v>P0</x:v>
      </x:c>
      <x:c r="I79" s="4" t="str">
        <x:v>Có health/API/storage evidence, không suy từ HTTP 200 frontend.</x:v>
      </x:c>
      <x:c r="J79" s="20" t="str">
        <x:v>PARTIAL</x:v>
      </x:c>
      <x:c r="K79" s="20" t="str">
        <x:v>PostgreSQL health/OpenAPI 64-path smoke passes; configured MinIO pull failed and protected transfer is unverified. Evidence: docs/handoff/final/FINAL_INTEGRATION_HANDOFF.md; docs/handoff/final/BACKEND_BUSINESS_VERIFICATION.md; sync DOC_SYNC_2026-10-07_6ecc851.</x:v>
      </x:c>
    </x:row>
    <x:row r="80" ht="64" customHeight="1">
      <x:c r="A80" s="4" t="str">
        <x:v>TECH-04</x:v>
      </x:c>
      <x:c r="B80" s="4" t="str">
        <x:v>Nền tảng dùng chung</x:v>
      </x:c>
      <x:c r="C80" s="4" t="str">
        <x:v>TanStack Query trên toàn bộ Phase 1</x:v>
      </x:c>
      <x:c r="D80" s="18" t="str">
        <x:v>CO_MOT_PHAN</x:v>
      </x:c>
      <x:c r="E80" s="4" t="str">
        <x:v>Mission dùng Query; các màn hình Phase 1 còn useEffect/useState.</x:v>
      </x:c>
      <x:c r="F80" s="4" t="str">
        <x:v>Refactor theo feature, query keys, mutation/invalidation và session handling.</x:v>
      </x:c>
      <x:c r="G80" s="4" t="str">
        <x:v>PHASE_1_HANDOFF.md | 2026-10-06 | HEAD 16f70f6 | L168-L172</x:v>
      </x:c>
      <x:c r="H80" s="4" t="str">
        <x:v>P1</x:v>
      </x:c>
      <x:c r="I80" s="4" t="str">
        <x:v>Không reload toàn Operations; cache không lộ khi đổi tài khoản.</x:v>
      </x:c>
      <x:c r="J80" s="20" t="str">
        <x:v>PARTIAL</x:v>
      </x:c>
      <x:c r="K80" s="20" t="str">
        <x:v>Operations/access hooks use TanStack Query; mission/dashboard reads still use effects/local state. Evidence: docs/handoff/final/FINAL_INTEGRATION_HANDOFF.md; docs/handoff/final/BACKEND_BUSINESS_VERIFICATION.md; sync DOC_SYNC_2026-10-07_6ecc851.</x:v>
      </x:c>
    </x:row>
    <x:row r="81" ht="64" customHeight="1">
      <x:c r="A81" s="4" t="str">
        <x:v>TECH-05</x:v>
      </x:c>
      <x:c r="B81" s="4" t="str">
        <x:v>Nền tảng dùng chung</x:v>
      </x:c>
      <x:c r="C81" s="4" t="str">
        <x:v>UI table-first, drawer và 3D đã đặt goal</x:v>
      </x:c>
      <x:c r="D81" s="18" t="str">
        <x:v>CHUA_XAC_MINH</x:v>
      </x:c>
      <x:c r="E81" s="4" t="str">
        <x:v>Có goal thiết kế trong hội thoại; không có report code/test sau goal.</x:v>
      </x:c>
      <x:c r="F81" s="4" t="str">
        <x:v>Yêu cầu Codex chứng minh implementation và không làm action giả.</x:v>
      </x:c>
      <x:c r="G81" s="4" t="str">
        <x:v>PHASE_1_HANDOFF.md | 2026-10-06 | HEAD 16f70f6 | L203-L213 + goal người dùng (không phải bằng chứng triển khai)</x:v>
      </x:c>
      <x:c r="H81" s="4" t="str">
        <x:v>P1</x:v>
      </x:c>
      <x:c r="I81" s="4" t="str">
        <x:v>Ảnh mới, API thật, tương tác thật; 3D lỗi không chặn quản lý.</x:v>
      </x:c>
      <x:c r="J81" s="20" t="str">
        <x:v>PARTIAL</x:v>
      </x:c>
      <x:c r="K81" s="20" t="str">
        <x:v>Selected table/drawer/access/browser and on-demand CSS viewer evidence pass; goal-wide UI acceptance is incomplete. Evidence: docs/handoff/final/FINAL_INTEGRATION_HANDOFF.md; docs/handoff/final/BACKEND_BUSINESS_VERIFICATION.md; sync DOC_SYNC_2026-10-07_6ecc851.</x:v>
      </x:c>
    </x:row>
    <x:row r="82" ht="64" customHeight="1">
      <x:c r="A82" s="4" t="str">
        <x:v>TECH-06</x:v>
      </x:c>
      <x:c r="B82" s="4" t="str">
        <x:v>Nền tảng dùng chung</x:v>
      </x:c>
      <x:c r="C82" s="4" t="str">
        <x:v>Browser E2E/visual/keyboard/mobile</x:v>
      </x:c>
      <x:c r="D82" s="18" t="str">
        <x:v>CHUA_XAC_MINH</x:v>
      </x:c>
      <x:c r="E82" s="4" t="str">
        <x:v>Handoff chưa chụp ảnh, chỉ route smoke.</x:v>
      </x:c>
      <x:c r="F82" s="4" t="str">
        <x:v>Kiểm thử trình duyệt có đăng nhập, quyền và dữ liệu mẫu.</x:v>
      </x:c>
      <x:c r="G82" s="4" t="str">
        <x:v>PHASE_1_HANDOFF.md | 2026-10-06 | HEAD 16f70f6 | L184-L186; L203-L213</x:v>
      </x:c>
      <x:c r="H82" s="4" t="str">
        <x:v>P1</x:v>
      </x:c>
      <x:c r="I82" s="4" t="str">
        <x:v>Các luồng chính có bằng chứng; thiếu môi trường thì NOT_VERIFIED.</x:v>
      </x:c>
      <x:c r="J82" s="20" t="str">
        <x:v>PARTIAL</x:v>
      </x:c>
      <x:c r="K82" s="20" t="str">
        <x:v>Selected browser traces pass (operations, station drawer, denied state, viewer); route-wide responsive/state matrix is unverified. Evidence: docs/handoff/final/FINAL_INTEGRATION_HANDOFF.md; docs/handoff/final/BACKEND_BUSINESS_VERIFICATION.md; sync DOC_SYNC_2026-10-07_6ecc851.</x:v>
      </x:c>
    </x:row>
  </x:sheetData>
  <x:mergeCells>
    <x:mergeCell ref="A1:K1"/>
    <x:mergeCell ref="A2:K4"/>
  </x:mergeCells>
  <x:conditionalFormatting sqref="D7:D82">
    <x:cfRule type="expression" dxfId="0" priority="1">
      <x:formula>$D7="CO_TEST_PHAM_VI_HEP"</x:formula>
    </x:cfRule>
    <x:cfRule type="expression" dxfId="1" priority="2">
      <x:formula>$D7="CO_MOT_PHAN"</x:formula>
    </x:cfRule>
    <x:cfRule type="expression" dxfId="2" priority="3">
      <x:formula>$D7="CHUA_TRIEN_KHAI_THEO_BC"</x:formula>
    </x:cfRule>
    <x:cfRule type="expression" dxfId="3" priority="4">
      <x:formula>$D7="CHUA_XAC_MINH"</x:formula>
    </x:cfRule>
    <x:cfRule type="expression" dxfId="4" priority="5">
      <x:formula>$D7="TAM_HOAN"</x:formula>
    </x:cfRule>
  </x:conditionalFormatting>
  <x:dataValidations count="2">
    <x:dataValidation type="list" sqref="J7:J82">
      <x:formula1>"CHUA_CAP_NHAT,DANG_LAM,DA_CODE_CHUA_TEST,DA_NGHIEM_THU,BI_CHAN"</x:formula1>
    </x:dataValidation>
    <x:dataValidation type="list" sqref="H7:H82">
      <x:formula1>"P0,P1,P2,DEFER"</x:formula1>
    </x:dataValidation>
  </x:dataValidations>
  <x:pageMargins left="0.7" right="0.7" top="0.75" bottom="0.75" header="0.3" footer="0.3"/>
  <x:tableParts count="1">
    <x:tablePart xmlns:r="http://schemas.openxmlformats.org/officeDocument/2006/relationships" r:id="Rf1c883a742f84aa8"/>
  </x:tableParts>
</x:worksheet>
</file>

<file path=xl/worksheets/sheet3.xml><?xml version="1.0" encoding="utf-8"?>
<x:worksheet xmlns:x="http://schemas.openxmlformats.org/spreadsheetml/2006/main">
  <x:sheetFormatPr defaultRowHeight="15"/>
  <x:cols>
    <x:col min="1" max="1" width="24" hidden="0" customWidth="1"/>
    <x:col min="2" max="2" width="29" hidden="0" customWidth="1"/>
    <x:col min="3" max="3" width="36" hidden="0" customWidth="1"/>
    <x:col min="4" max="4" width="28" hidden="0" customWidth="1"/>
    <x:col min="5" max="5" width="40" hidden="0" customWidth="1"/>
    <x:col min="6" max="6" width="38" hidden="0" customWidth="1"/>
    <x:col min="7" max="7" width="40" hidden="0" customWidth="1"/>
    <x:col min="8" max="8" width="35" hidden="0" customWidth="1"/>
    <x:col min="9" max="9" width="24" hidden="0" customWidth="1"/>
    <x:col min="10" max="10" width="58" hidden="0" customWidth="1"/>
  </x:cols>
  <x:sheetData>
    <x:row r="1" ht="34" customHeight="1">
      <x:c r="A1" s="9" t="str">
        <x:v>UAV PAS | MA TRẬN QUYỀN HIỆN CÓ VÀ PHẦN CẦN BỔ SUNG</x:v>
      </x:c>
      <x:c r="B1" s="9"/>
      <x:c r="C1" s="9"/>
      <x:c r="D1" s="9"/>
      <x:c r="E1" s="9"/>
      <x:c r="F1" s="9"/>
      <x:c r="G1" s="9"/>
      <x:c r="H1" s="9"/>
    </x:row>
    <x:row r="2" ht="19" customHeight="1">
      <x:c r="A2" s="13" t="str">
        <x:v>Lịch sử cột B–H theo handoff 16f70f6. Cập nhật hiện tại dùng cột I–J tại HEAD 6ecc851; registry server hiện có 31 mã trong CURRENT_PERMISSION_MATRIX.md. OWN/ASSIGNED/STATION/ALL vẫn là scope mô tả, không tự biến thành enum.</x:v>
      </x:c>
      <x:c r="B2" s="13"/>
      <x:c r="C2" s="13"/>
      <x:c r="D2" s="13"/>
      <x:c r="E2" s="13"/>
      <x:c r="F2" s="13"/>
      <x:c r="G2" s="13"/>
      <x:c r="H2" s="13"/>
    </x:row>
    <x:row r="3" ht="19" customHeight="1">
      <x:c r="A3" s="13"/>
      <x:c r="B3" s="13"/>
      <x:c r="C3" s="13"/>
      <x:c r="D3" s="13"/>
      <x:c r="E3" s="13"/>
      <x:c r="F3" s="13"/>
      <x:c r="G3" s="13"/>
      <x:c r="H3" s="13"/>
    </x:row>
    <x:row r="4" ht="19" customHeight="1">
      <x:c r="A4" s="13"/>
      <x:c r="B4" s="13"/>
      <x:c r="C4" s="13"/>
      <x:c r="D4" s="13"/>
      <x:c r="E4" s="13"/>
      <x:c r="F4" s="13"/>
      <x:c r="G4" s="13"/>
      <x:c r="H4" s="13"/>
    </x:row>
    <x:row r="5" ht="8" customHeight="1">
      <x:c r="A5" s="4"/>
      <x:c r="B5" s="4"/>
      <x:c r="C5" s="4"/>
      <x:c r="D5" s="4"/>
      <x:c r="E5" s="4"/>
      <x:c r="F5" s="4"/>
      <x:c r="G5" s="4"/>
      <x:c r="H5" s="4"/>
    </x:row>
    <x:row r="6" ht="15" hidden="0" customHeight="1">
      <x:c r="A6" s="16" t="str">
        <x:v>Nhóm</x:v>
      </x:c>
      <x:c r="B6" s="16" t="str">
        <x:v>Mã quyền theo nguồn</x:v>
      </x:c>
      <x:c r="C6" s="16" t="str">
        <x:v>Hành động/API hiện có</x:v>
      </x:c>
      <x:c r="D6" s="16" t="str">
        <x:v>Trạng thái nguồn</x:v>
      </x:c>
      <x:c r="E6" s="16" t="str">
        <x:v>Bổ sung/tách quyền — đề xuất</x:v>
      </x:c>
      <x:c r="F6" s="16" t="str">
        <x:v>Phạm vi dữ liệu — đề xuất</x:v>
      </x:c>
      <x:c r="G6" s="16" t="str">
        <x:v>Kiểm thử cần có — đề xuất</x:v>
      </x:c>
      <x:c r="H6" s="16" t="str">
        <x:v>Nguồn</x:v>
      </x:c>
      <x:c r="I6" s="36" t="str">
        <x:v>Trạng thái hiện tại</x:v>
      </x:c>
      <x:c r="J6" s="36" t="str">
        <x:v>Bằng chứng mới / giới hạn</x:v>
      </x:c>
    </x:row>
    <x:row r="7" ht="39.599998474121094" hidden="0" customHeight="1">
      <x:c r="A7" s="4" t="str">
        <x:v>Người dùng</x:v>
      </x:c>
      <x:c r="B7" s="4" t="str">
        <x:v>USER_READ</x:v>
      </x:c>
      <x:c r="C7" s="4" t="str">
        <x:v>Danh sách và chi tiết tài khoản</x:v>
      </x:c>
      <x:c r="D7" s="4" t="str">
        <x:v>CÓ TRONG BÁO CÁO</x:v>
      </x:c>
      <x:c r="E7" s="4" t="str">
        <x:v>Xác minh phạm vi dữ liệu được phép đọc</x:v>
      </x:c>
      <x:c r="F7" s="4" t="str">
        <x:v>Chủ tài khoản / phạm vi quản trị được cấp</x:v>
      </x:c>
      <x:c r="G7" s="4" t="str">
        <x:v>Đổi ID không vượt phạm vi</x:v>
      </x:c>
      <x:c r="H7" s="4" t="str">
        <x:v>PHASE_1_HANDOFF.md | 2026-10-06 | HEAD 16f70f6 | L62</x:v>
      </x:c>
      <x:c r="I7" s="38" t="str">
        <x:v>VERIFIED</x:v>
      </x:c>
      <x:c r="J7" s="39" t="str">
        <x:v>HEAD 6ecc851; backend permission behavior verified for tested paths; complete role/resource matrix remains NOT_VERIFIED. Evidence: CURRENT_PERMISSION_MATRIX.md + Phase1AccessIntegrationTest.</x:v>
      </x:c>
    </x:row>
    <x:row r="8" ht="39.599998474121094" hidden="0" customHeight="1">
      <x:c r="A8" s="4" t="str">
        <x:v>Người dùng</x:v>
      </x:c>
      <x:c r="B8" s="4" t="str">
        <x:v>USER_MANAGE</x:v>
      </x:c>
      <x:c r="C8" s="4" t="str">
        <x:v>Khóa, mở khóa, đổi role</x:v>
      </x:c>
      <x:c r="D8" s="4" t="str">
        <x:v>CÓ TRONG BÁO CÁO</x:v>
      </x:c>
      <x:c r="E8" s="4" t="str">
        <x:v>Đề xuất tách USER_LOCK, USER_UNLOCK, USER_UPDATE/ROLE_ASSIGN khi được duyệt</x:v>
      </x:c>
      <x:c r="F8" s="4" t="str">
        <x:v>Không tự cấp quyền vượt chính sách</x:v>
      </x:c>
      <x:c r="G8" s="4" t="str">
        <x:v>Chỉ có quyền khóa không tự có quyền sửa vai trò</x:v>
      </x:c>
      <x:c r="H8" s="4" t="str">
        <x:v>PHASE_1_HANDOFF.md | 2026-10-06 | HEAD 16f70f6 | L63</x:v>
      </x:c>
      <x:c r="I8" s="38" t="str">
        <x:v>VERIFIED</x:v>
      </x:c>
      <x:c r="J8" s="39" t="str">
        <x:v>HEAD 6ecc851; backend permission behavior verified for tested paths; complete role/resource matrix remains NOT_VERIFIED. Evidence: CURRENT_PERMISSION_MATRIX.md + Phase1AccessIntegrationTest.</x:v>
      </x:c>
    </x:row>
    <x:row r="9" ht="39.599998474121094" hidden="0" customHeight="1">
      <x:c r="A9" s="4" t="str">
        <x:v>Phân quyền</x:v>
      </x:c>
      <x:c r="B9" s="4" t="str">
        <x:v>PERMISSION_MANAGE</x:v>
      </x:c>
      <x:c r="C9" s="4" t="str">
        <x:v>Xem registry và sửa quyền user/template</x:v>
      </x:c>
      <x:c r="D9" s="4" t="str">
        <x:v>CÓ TRONG BÁO CÁO</x:v>
      </x:c>
      <x:c r="E9" s="4" t="str">
        <x:v>UI ma trận; reset override; bảo vệ tài khoản cuối; giới hạn delegation</x:v>
      </x:c>
      <x:c r="F9" s="4" t="str">
        <x:v>Người được cấp quản lý và phạm vi cấp quyền hợp lệ</x:v>
      </x:c>
      <x:c r="G9" s="4" t="str">
        <x:v>Kiểm tra DENY/INHERIT và trạng thái lưu thực tế</x:v>
      </x:c>
      <x:c r="H9" s="4" t="str">
        <x:v>PHASE_1_HANDOFF.md | 2026-10-06 | HEAD 16f70f6 | L64-L67; L153-L155</x:v>
      </x:c>
      <x:c r="I9" s="38" t="str">
        <x:v>VERIFIED</x:v>
      </x:c>
      <x:c r="J9" s="39" t="str">
        <x:v>HEAD 6ecc851; backend permission behavior verified for tested paths; complete role/resource matrix remains NOT_VERIFIED. Evidence: CURRENT_PERMISSION_MATRIX.md + Phase1AccessIntegrationTest.</x:v>
      </x:c>
    </x:row>
    <x:row r="10" ht="39.599998474121094" hidden="0" customHeight="1">
      <x:c r="A10" s="4" t="str">
        <x:v>Trạm</x:v>
      </x:c>
      <x:c r="B10" s="4" t="str">
        <x:v>STATION_READ</x:v>
      </x:c>
      <x:c r="C10" s="4" t="str">
        <x:v>List/detail trạm</x:v>
      </x:c>
      <x:c r="D10" s="4" t="str">
        <x:v>CÓ TRONG BÁO CÁO</x:v>
      </x:c>
      <x:c r="E10" s="4" t="str">
        <x:v>Kiểm tra quyền xem từng trạm và dữ liệu đính kèm</x:v>
      </x:c>
      <x:c r="F10" s="4" t="str">
        <x:v>Trạm được phép hoặc toàn hệ thống nếu được cấp</x:v>
      </x:c>
      <x:c r="G10" s="4" t="str">
        <x:v>Không lộ inventory qua station detail khi không được phép</x:v>
      </x:c>
      <x:c r="H10" s="4" t="str">
        <x:v>PHASE_1_HANDOFF.md | 2026-10-06 | HEAD 16f70f6 | L71</x:v>
      </x:c>
      <x:c r="I10" s="38" t="str">
        <x:v>VERIFIED</x:v>
      </x:c>
      <x:c r="J10" s="39" t="str">
        <x:v>HEAD 6ecc851; backend permission behavior verified for tested paths; complete role/resource matrix remains NOT_VERIFIED. Evidence: CURRENT_PERMISSION_MATRIX.md + Phase1AccessIntegrationTest.</x:v>
      </x:c>
    </x:row>
    <x:row r="11" ht="39.599998474121094" hidden="0" customHeight="1">
      <x:c r="A11" s="4" t="str">
        <x:v>Trạm</x:v>
      </x:c>
      <x:c r="B11" s="4" t="str">
        <x:v>STATION_MANAGE</x:v>
      </x:c>
      <x:c r="C11" s="4" t="str">
        <x:v>Tạo/sửa/xóa trạm</x:v>
      </x:c>
      <x:c r="D11" s="4" t="str">
        <x:v>CÓ TRONG BÁO CÁO</x:v>
      </x:c>
      <x:c r="E11" s="4" t="str">
        <x:v>Đề xuất tách tạo/sửa/status/archive phù hợp contract; không xóa lịch sử tùy ý</x:v>
      </x:c>
      <x:c r="F11" s="4" t="str">
        <x:v>Phạm vi trạm quản lý</x:v>
      </x:c>
      <x:c r="G11" s="4" t="str">
        <x:v>Chỉ được thao tác trong scope và điều kiện trạng thái</x:v>
      </x:c>
      <x:c r="H11" s="4" t="str">
        <x:v>PHASE_1_HANDOFF.md | 2026-10-06 | HEAD 16f70f6 | L72</x:v>
      </x:c>
      <x:c r="I11" s="38" t="str">
        <x:v>VERIFIED</x:v>
      </x:c>
      <x:c r="J11" s="39" t="str">
        <x:v>HEAD 6ecc851; backend permission behavior verified for tested paths; complete role/resource matrix remains NOT_VERIFIED. Evidence: CURRENT_PERMISSION_MATRIX.md + Phase1AccessIntegrationTest.</x:v>
      </x:c>
    </x:row>
    <x:row r="12" ht="39.599998474121094" hidden="0" customHeight="1">
      <x:c r="A12" s="4" t="str">
        <x:v>UAV</x:v>
      </x:c>
      <x:c r="B12" s="4" t="str">
        <x:v>UAV_READ</x:v>
      </x:c>
      <x:c r="C12" s="4" t="str">
        <x:v>List/detail/history UAV</x:v>
      </x:c>
      <x:c r="D12" s="4" t="str">
        <x:v>CÓ TRONG BÁO CÁO</x:v>
      </x:c>
      <x:c r="E12" s="4" t="str">
        <x:v>Xác minh scope Fleet và history</x:v>
      </x:c>
      <x:c r="F12" s="4" t="str">
        <x:v>Được giao / trạm / toàn hệ thống khi được cấp</x:v>
      </x:c>
      <x:c r="G12" s="4" t="str">
        <x:v>Không để link chi tiết bypass list scope</x:v>
      </x:c>
      <x:c r="H12" s="4" t="str">
        <x:v>PHASE_1_HANDOFF.md | 2026-10-06 | HEAD 16f70f6 | L78</x:v>
      </x:c>
      <x:c r="I12" s="38" t="str">
        <x:v>VERIFIED</x:v>
      </x:c>
      <x:c r="J12" s="39" t="str">
        <x:v>HEAD 6ecc851; backend permission behavior verified for tested paths; complete role/resource matrix remains NOT_VERIFIED. Evidence: CURRENT_PERMISSION_MATRIX.md + Phase1AccessIntegrationTest.</x:v>
      </x:c>
    </x:row>
    <x:row r="13" ht="39.599998474121094" hidden="0" customHeight="1">
      <x:c r="A13" s="4" t="str">
        <x:v>UAV</x:v>
      </x:c>
      <x:c r="B13" s="4" t="str">
        <x:v>UAV_MANAGE</x:v>
      </x:c>
      <x:c r="C13" s="4" t="str">
        <x:v>Tạo/sửa/gán trạm/status/maintenance</x:v>
      </x:c>
      <x:c r="D13" s="4" t="str">
        <x:v>CÓ TRONG BÁO CÁO</x:v>
      </x:c>
      <x:c r="E13" s="4" t="str">
        <x:v>Tách hành động bảo trì/gán trạm/đổi trạng thái nếu nghiệp vụ cần</x:v>
      </x:c>
      <x:c r="F13" s="4" t="str">
        <x:v>Theo scope và trạng thái hợp lệ</x:v>
      </x:c>
      <x:c r="G13" s="4" t="str">
        <x:v>Permission không cho phép nhảy sai state machine</x:v>
      </x:c>
      <x:c r="H13" s="4" t="str">
        <x:v>PHASE_1_HANDOFF.md | 2026-10-06 | HEAD 16f70f6 | L79</x:v>
      </x:c>
      <x:c r="I13" s="38" t="str">
        <x:v>VERIFIED</x:v>
      </x:c>
      <x:c r="J13" s="39" t="str">
        <x:v>HEAD 6ecc851; backend permission behavior verified for tested paths; complete role/resource matrix remains NOT_VERIFIED. Evidence: CURRENT_PERMISSION_MATRIX.md + Phase1AccessIntegrationTest.</x:v>
      </x:c>
    </x:row>
    <x:row r="14" ht="39.599998474121094" hidden="0" customHeight="1">
      <x:c r="A14" s="4" t="str">
        <x:v>Kho</x:v>
      </x:c>
      <x:c r="B14" s="4" t="str">
        <x:v>INVENTORY_READ</x:v>
      </x:c>
      <x:c r="C14" s="4" t="str">
        <x:v>List/detail/history equipment</x:v>
      </x:c>
      <x:c r="D14" s="4" t="str">
        <x:v>CÓ TRONG BÁO CÁO</x:v>
      </x:c>
      <x:c r="E14" s="4" t="str">
        <x:v>Xác minh phạm vi kho/trạm, history và số liệu</x:v>
      </x:c>
      <x:c r="F14" s="4" t="str">
        <x:v>Kho/trạm được cấp</x:v>
      </x:c>
      <x:c r="G14" s="4" t="str">
        <x:v>Không đọc tồn kho trạm khác bằng query</x:v>
      </x:c>
      <x:c r="H14" s="4" t="str">
        <x:v>PHASE_1_HANDOFF.md | 2026-10-06 | HEAD 16f70f6 | L85</x:v>
      </x:c>
      <x:c r="I14" s="38" t="str">
        <x:v>VERIFIED</x:v>
      </x:c>
      <x:c r="J14" s="39" t="str">
        <x:v>HEAD 6ecc851; backend permission behavior verified for tested paths; complete role/resource matrix remains NOT_VERIFIED. Evidence: CURRENT_PERMISSION_MATRIX.md + Phase1AccessIntegrationTest.</x:v>
      </x:c>
    </x:row>
    <x:row r="15" ht="39.599998474121094" hidden="0" customHeight="1">
      <x:c r="A15" s="4" t="str">
        <x:v>Kho</x:v>
      </x:c>
      <x:c r="B15" s="4" t="str">
        <x:v>INVENTORY_MANAGE</x:v>
      </x:c>
      <x:c r="C15" s="4" t="str">
        <x:v>Tạo/sửa, stock-in/out, reserve/release/transfer</x:v>
      </x:c>
      <x:c r="D15" s="4" t="str">
        <x:v>CÓ TRONG BÁO CÁO</x:v>
      </x:c>
      <x:c r="E15" s="4" t="str">
        <x:v>Ưu tiên tách STOCK_IN, STOCK_OUT, RESERVE, RELEASE, TRANSFER</x:v>
      </x:c>
      <x:c r="F15" s="4" t="str">
        <x:v>Kiểm tra trạm nguồn và trạm đích theo chính sách</x:v>
      </x:c>
      <x:c r="G15" s="4" t="str">
        <x:v>Người chỉ nhập kho không được điều chuyển qua API</x:v>
      </x:c>
      <x:c r="H15" s="4" t="str">
        <x:v>PHASE_1_HANDOFF.md | 2026-10-06 | HEAD 16f70f6 | L86</x:v>
      </x:c>
      <x:c r="I15" s="38" t="str">
        <x:v>VERIFIED</x:v>
      </x:c>
      <x:c r="J15" s="39" t="str">
        <x:v>HEAD 6ecc851; backend permission behavior verified for tested paths; complete role/resource matrix remains NOT_VERIFIED. Evidence: CURRENT_PERMISSION_MATRIX.md + Phase1AccessIntegrationTest.</x:v>
      </x:c>
    </x:row>
    <x:row r="16" ht="39.599998474121094" hidden="0" customHeight="1">
      <x:c r="A16" s="4" t="str">
        <x:v>Media</x:v>
      </x:c>
      <x:c r="B16" s="4" t="str">
        <x:v>MEDIA_READ</x:v>
      </x:c>
      <x:c r="C16" s="4" t="str">
        <x:v>List và download URL</x:v>
      </x:c>
      <x:c r="D16" s="4" t="str">
        <x:v>CÓ TRONG BÁO CÁO</x:v>
      </x:c>
      <x:c r="E16" s="4" t="str">
        <x:v>Bổ sung kiểm tra file/link resource; đọc không đồng nghĩa đọc mọi file</x:v>
      </x:c>
      <x:c r="F16" s="4" t="str">
        <x:v>Owner / resource access hợp lệ</x:v>
      </x:c>
      <x:c r="G16" s="4" t="str">
        <x:v>Thay media ID không nhận được URL trái phép</x:v>
      </x:c>
      <x:c r="H16" s="4" t="str">
        <x:v>PHASE_1_HANDOFF.md | 2026-10-06 | HEAD 16f70f6 | L92; L95; L97</x:v>
      </x:c>
      <x:c r="I16" s="38" t="str">
        <x:v>VERIFIED</x:v>
      </x:c>
      <x:c r="J16" s="39" t="str">
        <x:v>HEAD 6ecc851; backend permission behavior verified for tested paths; complete role/resource matrix remains NOT_VERIFIED. Evidence: CURRENT_PERMISSION_MATRIX.md + Phase1AccessIntegrationTest.</x:v>
      </x:c>
    </x:row>
    <x:row r="17" ht="39.599998474121094" hidden="0" customHeight="1">
      <x:c r="A17" s="4" t="str">
        <x:v>Media</x:v>
      </x:c>
      <x:c r="B17" s="4" t="str">
        <x:v>MEDIA_MANAGE</x:v>
      </x:c>
      <x:c r="C17" s="4" t="str">
        <x:v>Metadata registration và upload URL</x:v>
      </x:c>
      <x:c r="D17" s="4" t="str">
        <x:v>CÓ TRONG BÁO CÁO</x:v>
      </x:c>
      <x:c r="E17" s="4" t="str">
        <x:v>Tách upload/link/delete khi endpoint hỗ trợ; kiểm tra linked entity</x:v>
      </x:c>
      <x:c r="F17" s="4" t="str">
        <x:v>Owner/resource scope và lifecycle file</x:v>
      </x:c>
      <x:c r="G17" s="4" t="str">
        <x:v>Không liên kết file vào Mission ngoài quyền</x:v>
      </x:c>
      <x:c r="H17" s="4" t="str">
        <x:v>PHASE_1_HANDOFF.md | 2026-10-06 | HEAD 16f70f6 | L93-L94; L97</x:v>
      </x:c>
      <x:c r="I17" s="38" t="str">
        <x:v>VERIFIED</x:v>
      </x:c>
      <x:c r="J17" s="39" t="str">
        <x:v>HEAD 6ecc851; backend permission behavior verified for tested paths; complete role/resource matrix remains NOT_VERIFIED. Evidence: CURRENT_PERMISSION_MATRIX.md + Phase1AccessIntegrationTest.</x:v>
      </x:c>
    </x:row>
    <x:row r="18" ht="39.599998474121094" hidden="0" customHeight="1">
      <x:c r="A18" s="4" t="str">
        <x:v>Dashboard</x:v>
      </x:c>
      <x:c r="B18" s="4" t="str">
        <x:v>DASHBOARD_READ</x:v>
      </x:c>
      <x:c r="C18" s="4" t="str">
        <x:v>Resource summary</x:v>
      </x:c>
      <x:c r="D18" s="4" t="str">
        <x:v>CÓ TRONG BÁO CÁO</x:v>
      </x:c>
      <x:c r="E18" s="4" t="str">
        <x:v>Định nghĩa metric scope; không chỉ ẩn widget</x:v>
      </x:c>
      <x:c r="F18" s="4" t="str">
        <x:v>Dữ liệu được phép tổng hợp</x:v>
      </x:c>
      <x:c r="G18" s="4" t="str">
        <x:v>Count không lộ tài nguyên ngoài phạm vi</x:v>
      </x:c>
      <x:c r="H18" s="4" t="str">
        <x:v>PHASE_1_HANDOFF.md | 2026-10-06 | HEAD 16f70f6 | L101; L39</x:v>
      </x:c>
      <x:c r="I18" s="38" t="str">
        <x:v>VERIFIED</x:v>
      </x:c>
      <x:c r="J18" s="39" t="str">
        <x:v>HEAD 6ecc851; backend permission behavior verified for tested paths; complete role/resource matrix remains NOT_VERIFIED. Evidence: CURRENT_PERMISSION_MATRIX.md + Phase1AccessIntegrationTest.</x:v>
      </x:c>
    </x:row>
    <x:row r="19" ht="39.599998474121094" hidden="0" customHeight="1">
      <x:c r="A19" s="4" t="str">
        <x:v>Dashboard</x:v>
      </x:c>
      <x:c r="B19" s="4" t="str">
        <x:v>DASHBOARD_MISSION</x:v>
      </x:c>
      <x:c r="C19" s="4" t="str">
        <x:v>Mission metrics</x:v>
      </x:c>
      <x:c r="D19" s="4" t="str">
        <x:v>CÓ TRONG BÁO CÁO</x:v>
      </x:c>
      <x:c r="E19" s="4" t="str">
        <x:v>Review scope sở hữu/được giao/toàn hệ thống</x:v>
      </x:c>
      <x:c r="F19" s="4" t="str">
        <x:v>Theo Mission access</x:v>
      </x:c>
      <x:c r="G19" s="4" t="str">
        <x:v>Metric cùng phạm vi với danh sách nhiệm vụ</x:v>
      </x:c>
      <x:c r="H19" s="4" t="str">
        <x:v>PHASE_1_HANDOFF.md | 2026-10-06 | HEAD 16f70f6 | L102; L39</x:v>
      </x:c>
      <x:c r="I19" s="38" t="str">
        <x:v>VERIFIED</x:v>
      </x:c>
      <x:c r="J19" s="39" t="str">
        <x:v>HEAD 6ecc851; backend permission behavior verified for tested paths; complete role/resource matrix remains NOT_VERIFIED. Evidence: CURRENT_PERMISSION_MATRIX.md + Phase1AccessIntegrationTest.</x:v>
      </x:c>
    </x:row>
    <x:row r="20" ht="39.599998474121094" hidden="0" customHeight="1">
      <x:c r="A20" s="4" t="str">
        <x:v>Audit</x:v>
      </x:c>
      <x:c r="B20" s="4" t="str">
        <x:v>AUDIT_READ</x:v>
      </x:c>
      <x:c r="C20" s="4" t="str">
        <x:v>Audit API phân trang</x:v>
      </x:c>
      <x:c r="D20" s="4" t="str">
        <x:v>CÓ TRONG BÁO CÁO</x:v>
      </x:c>
      <x:c r="E20" s="4" t="str">
        <x:v>Kiểm tra scope; quyền export riêng nếu bổ sung</x:v>
      </x:c>
      <x:c r="F20" s="4" t="str">
        <x:v>Phạm vi audit được cấp</x:v>
      </x:c>
      <x:c r="G20" s="4" t="str">
        <x:v>Không trả token/secrets hoặc nội dung riêng tư ngoài nhu cầu</x:v>
      </x:c>
      <x:c r="H20" s="4" t="str">
        <x:v>PHASE_1_HANDOFF.md | 2026-10-06 | HEAD 16f70f6 | L103; L40</x:v>
      </x:c>
      <x:c r="I20" s="38" t="str">
        <x:v>VERIFIED</x:v>
      </x:c>
      <x:c r="J20" s="39" t="str">
        <x:v>HEAD 6ecc851; backend permission behavior verified for tested paths; complete role/resource matrix remains NOT_VERIFIED. Evidence: CURRENT_PERMISSION_MATRIX.md + Phase1AccessIntegrationTest.</x:v>
      </x:c>
    </x:row>
    <x:row r="21" ht="52.79999923706055" hidden="0" customHeight="1">
      <x:c r="A21" s="4" t="str">
        <x:v>Mission</x:v>
      </x:c>
      <x:c r="B21" s="4" t="str">
        <x:v>CHƯA LIỆT KÊ MÃ CHI TIẾT</x:v>
      </x:c>
      <x:c r="C21" s="4" t="str">
        <x:v>Có code Mission; report không xuất registry đầy đủ</x:v>
      </x:c>
      <x:c r="D21" s="4" t="str">
        <x:v>CẦN ĐỐI CHIẾU SOURCE</x:v>
      </x:c>
      <x:c r="E21" s="4" t="str">
        <x:v>Chốt quyền create/read/submit/assign/start/complete/cancel/media/timeline</x:v>
      </x:c>
      <x:c r="F21" s="4" t="str">
        <x:v>OWN / ASSIGNED / STATION / ALL là scope đề xuất, không phải enum đã xác minh</x:v>
      </x:c>
      <x:c r="G21" s="4" t="str">
        <x:v>Owner A không thao tác Mission B; assignment không tự cấp VIEW_ALL</x:v>
      </x:c>
      <x:c r="H21" s="4" t="str">
        <x:v>PHASE_1_HANDOFF.md | 2026-10-06 | HEAD 16f70f6 | L45; L219-L225</x:v>
      </x:c>
      <x:c r="I21" s="38" t="str">
        <x:v>PARTIAL</x:v>
      </x:c>
      <x:c r="J21" s="39" t="str">
        <x:v>31-code mission registry and service scope checks exist; commander MISSION_VIEW_ALL vs MISSION_VIEW seed mismatch and full HTTP role matrix remain open. Evidence: CURRENT_PERMISSION_MATRIX.md; FINAL_INTEGRATION_HANDOFF.md.</x:v>
      </x:c>
    </x:row>
    <x:row r="22" ht="26.399999618530273" hidden="0" customHeight="1">
      <x:c r="A22" s="4" t="str">
        <x:v>AI</x:v>
      </x:c>
      <x:c r="B22" s="4" t="str">
        <x:v>CHƯA XÁC MINH</x:v>
      </x:c>
      <x:c r="C22" s="4" t="str">
        <x:v>Ngoài phạm vi handoff</x:v>
      </x:c>
      <x:c r="D22" s="4" t="str">
        <x:v>CẦN ĐỐI CHIẾU SOURCE</x:v>
      </x:c>
      <x:c r="E22" s="4" t="str">
        <x:v>Đề xuất quyền chạy/xem kết quả/hủy/reprocess/manage worker</x:v>
      </x:c>
      <x:c r="F22" s="4" t="str">
        <x:v>Permission + quyền media/Mission + quota khi cần</x:v>
      </x:c>
      <x:c r="G22" s="4" t="str">
        <x:v>Có quyền chạy AI không đồng nghĩa còn quota</x:v>
      </x:c>
      <x:c r="H22" s="4" t="str">
        <x:v>PHASE_1_HANDOFF.md | 2026-10-06 | HEAD 16f70f6 | L41</x:v>
      </x:c>
      <x:c r="I22" s="38" t="str">
        <x:v>NOT_IMPLEMENTED</x:v>
      </x:c>
      <x:c r="J22" s="39" t="str">
        <x:v>AI, Search &amp; Rescue, Payment/Entitlement and user Notification modules have no implementation evidence at HEAD 6ecc851.</x:v>
      </x:c>
    </x:row>
    <x:row r="23" ht="26.399999618530273" hidden="0" customHeight="1">
      <x:c r="A23" s="4" t="str">
        <x:v>Cứu nạn</x:v>
      </x:c>
      <x:c r="B23" s="4" t="str">
        <x:v>CHƯA XÁC MINH</x:v>
      </x:c>
      <x:c r="C23" s="4" t="str">
        <x:v>Ngoài phạm vi handoff</x:v>
      </x:c>
      <x:c r="D23" s="4" t="str">
        <x:v>CẦN ĐỐI CHIẾU SOURCE</x:v>
      </x:c>
      <x:c r="E23" s="4" t="str">
        <x:v>Đề xuất tạo/điều phối/ưu tiên/xem kết quả/xác nhận sự cố</x:v>
      </x:c>
      <x:c r="F23" s="4" t="str">
        <x:v>Theo team/nhiệm vụ được giao và quyền cứu hộ</x:v>
      </x:c>
      <x:c r="G23" s="4" t="str">
        <x:v>Không dùng tự đặt priority để bỏ qua policy</x:v>
      </x:c>
      <x:c r="H23" s="4" t="str">
        <x:v>PHASE_1_HANDOFF.md | 2026-10-06 | HEAD 16f70f6 | L41</x:v>
      </x:c>
      <x:c r="I23" s="38" t="str">
        <x:v>NOT_IMPLEMENTED</x:v>
      </x:c>
      <x:c r="J23" s="39" t="str">
        <x:v>Search &amp; Rescue module has no source/controller/entity evidence at HEAD 6ecc851.</x:v>
      </x:c>
    </x:row>
    <x:row r="24" ht="15" hidden="0" customHeight="1">
      <x:c r="A24" s="4" t="str">
        <x:v>Thanh toán/dịch vụ</x:v>
      </x:c>
      <x:c r="B24" s="4" t="str">
        <x:v>CHƯA XÁC MINH</x:v>
      </x:c>
      <x:c r="C24" s="4" t="str">
        <x:v>Ngoài phạm vi handoff</x:v>
      </x:c>
      <x:c r="D24" s="4" t="str">
        <x:v>CẦN ĐỐI CHIẾU SOURCE</x:v>
      </x:c>
      <x:c r="E24" s="4" t="str">
        <x:v>Đề xuất xem đơn/quản lý gói/đối soát/điều chỉnh quota có audit</x:v>
      </x:c>
      <x:c r="F24" s="4" t="str">
        <x:v>Own order hoặc quản lý được cấp; entitlement có hiệu lực riêng</x:v>
      </x:c>
      <x:c r="G24" s="4" t="str">
        <x:v>Tick quyền không tự sửa số dư hoặc thanh toán thành công</x:v>
      </x:c>
      <x:c r="H24" s="4" t="str">
        <x:v>PHASE_1_HANDOFF.md | 2026-10-06 | HEAD 16f70f6 | L41</x:v>
      </x:c>
      <x:c r="I24" s="38" t="str">
        <x:v>NOT_IMPLEMENTED</x:v>
      </x:c>
      <x:c r="J24" s="39" t="str">
        <x:v>Payment/Entitlement package/order/webhook/quota implementation is absent.</x:v>
      </x:c>
    </x:row>
    <x:row r="25" ht="15" hidden="0" customHeight="1">
      <x:c r="A25" s="4" t="str">
        <x:v>Thông báo</x:v>
      </x:c>
      <x:c r="B25" s="4" t="str">
        <x:v>CHƯA XÁC MINH</x:v>
      </x:c>
      <x:c r="C25" s="4" t="str">
        <x:v>Không có báo cáo module riêng</x:v>
      </x:c>
      <x:c r="D25" s="4" t="str">
        <x:v>CẦN ĐỐI CHIẾU SOURCE</x:v>
      </x:c>
      <x:c r="E25" s="4" t="str">
        <x:v>Đề xuất đọc/đánh dấu đọc của bản thân và quản lý thông báo nếu cần</x:v>
      </x:c>
      <x:c r="F25" s="4" t="str">
        <x:v>Recipient hiện tại</x:v>
      </x:c>
      <x:c r="G25" s="4" t="str">
        <x:v>Không xem inbox người khác</x:v>
      </x:c>
      <x:c r="H25" s="4" t="str">
        <x:v>PHASE_1_HANDOFF.md | 2026-10-06 | HEAD 16f70f6 | L15-L24; L40</x:v>
      </x:c>
      <x:c r="I25" s="38" t="str">
        <x:v>NOT_IMPLEMENTED</x:v>
      </x:c>
      <x:c r="J25" s="39" t="str">
        <x:v>No user-notification module is present; audit remains separate and PARTIAL.</x:v>
      </x:c>
    </x:row>
    <x:row r="26" ht="26.399999618530273" hidden="0" customHeight="1">
      <x:c r="A26" s="4" t="str">
        <x:v>Báo cáo/cấu hình</x:v>
      </x:c>
      <x:c r="B26" s="4" t="str">
        <x:v>CHƯA XÁC MINH</x:v>
      </x:c>
      <x:c r="C26" s="4" t="str">
        <x:v>Chỉ Dashboard basic có bằng chứng</x:v>
      </x:c>
      <x:c r="D26" s="4" t="str">
        <x:v>CẦN ĐỐI CHIẾU SOURCE</x:v>
      </x:c>
      <x:c r="E26" s="4" t="str">
        <x:v>Quyền export và sửa cấu hình nhạy cảm tách quyền xem</x:v>
      </x:c>
      <x:c r="F26" s="4" t="str">
        <x:v>Theo phạm vi dữ liệu và quyền cấu hình</x:v>
      </x:c>
      <x:c r="G26" s="4" t="str">
        <x:v>Không xuất toàn hệ thống bằng quyền xem riêng</x:v>
      </x:c>
      <x:c r="H26" s="4" t="str">
        <x:v>PHASE_1_HANDOFF.md | 2026-10-06 | HEAD 16f70f6 | L39; L101-L105</x:v>
      </x:c>
      <x:c r="I26" s="38" t="str">
        <x:v>PARTIAL</x:v>
      </x:c>
      <x:c r="J26" s="39" t="str">
        <x:v>Dashboard/Reporting permissions are source-backed for current paths; complete export/config scope is unverified.</x:v>
      </x:c>
    </x:row>
  </x:sheetData>
  <x:mergeCells>
    <x:mergeCell ref="A1:H1"/>
    <x:mergeCell ref="A2:H4"/>
  </x:mergeCells>
  <x:pageMargins left="0.7" right="0.7" top="0.75" bottom="0.75" header="0.3" footer="0.3"/>
  <x:tableParts count="1">
    <x:tablePart xmlns:r="http://schemas.openxmlformats.org/officeDocument/2006/relationships" r:id="R3da2d26ba7d841cc"/>
  </x:tableParts>
</x:worksheet>
</file>

<file path=xl/worksheets/sheet4.xml><?xml version="1.0" encoding="utf-8"?>
<x:worksheet xmlns:x="http://schemas.openxmlformats.org/spreadsheetml/2006/main">
  <x:sheetFormatPr defaultRowHeight="15"/>
  <x:cols>
    <x:col min="1" max="1" width="10" hidden="0" customWidth="1"/>
    <x:col min="2" max="2" width="34" hidden="0" customWidth="1"/>
    <x:col min="3" max="3" width="10" hidden="0" customWidth="1"/>
    <x:col min="4" max="4" width="36" hidden="0" customWidth="1"/>
    <x:col min="5" max="5" width="40" hidden="0" customWidth="1"/>
    <x:col min="6" max="6" width="40" hidden="0" customWidth="1"/>
    <x:col min="7" max="7" width="38" hidden="0" customWidth="1"/>
    <x:col min="8" max="8" width="40" hidden="0" customWidth="1"/>
    <x:col min="9" max="9" width="24" hidden="0" customWidth="1"/>
  </x:cols>
  <x:sheetData>
    <x:row r="1" ht="34" customHeight="1">
      <x:c r="A1" s="9" t="str">
        <x:v>UAV PAS | LỘ TRÌNH HOÀN THIỆN ĐỀ XUẤT</x:v>
      </x:c>
      <x:c r="B1" s="9"/>
      <x:c r="C1" s="9"/>
      <x:c r="D1" s="9"/>
      <x:c r="E1" s="9"/>
      <x:c r="F1" s="9"/>
      <x:c r="G1" s="9"/>
      <x:c r="H1" s="9"/>
      <x:c r="I1" s="9"/>
    </x:row>
    <x:row r="2" ht="19" customHeight="1">
      <x:c r="A2" s="13" t="str">
        <x:v>Đây là kế hoạch, không phải công việc đã thực hiện. Ưu tiên không phải thời lượng hoặc cam kết ngày hoàn thành. P0: rủi ro dữ liệu/quyền/nền tảng; P1: đóng luồng đang triển khai; P2: mở rộng sau khi dependency đủ; DEFER: tạm hoãn.</x:v>
      </x:c>
      <x:c r="B2" s="13"/>
      <x:c r="C2" s="13"/>
      <x:c r="D2" s="13"/>
      <x:c r="E2" s="13"/>
      <x:c r="F2" s="13"/>
      <x:c r="G2" s="13"/>
      <x:c r="H2" s="13"/>
      <x:c r="I2" s="13"/>
    </x:row>
    <x:row r="3" ht="19" customHeight="1">
      <x:c r="A3" s="13"/>
      <x:c r="B3" s="13"/>
      <x:c r="C3" s="13"/>
      <x:c r="D3" s="13"/>
      <x:c r="E3" s="13"/>
      <x:c r="F3" s="13"/>
      <x:c r="G3" s="13"/>
      <x:c r="H3" s="13"/>
      <x:c r="I3" s="13"/>
    </x:row>
    <x:row r="4" ht="19" customHeight="1">
      <x:c r="A4" s="13"/>
      <x:c r="B4" s="13"/>
      <x:c r="C4" s="13"/>
      <x:c r="D4" s="13"/>
      <x:c r="E4" s="13"/>
      <x:c r="F4" s="13"/>
      <x:c r="G4" s="13"/>
      <x:c r="H4" s="13"/>
      <x:c r="I4" s="13"/>
    </x:row>
    <x:row r="5" ht="8" customHeight="1">
      <x:c r="A5" s="4"/>
      <x:c r="B5" s="4"/>
      <x:c r="C5" s="4"/>
      <x:c r="D5" s="4"/>
      <x:c r="E5" s="4"/>
      <x:c r="F5" s="4"/>
      <x:c r="G5" s="4"/>
      <x:c r="H5" s="4"/>
      <x:c r="I5" s="4"/>
    </x:row>
    <x:row r="6" ht="32" customHeight="1">
      <x:c r="A6" s="16" t="str">
        <x:v>Mốc</x:v>
      </x:c>
      <x:c r="B6" s="16" t="str">
        <x:v>Công việc</x:v>
      </x:c>
      <x:c r="C6" s="16" t="str">
        <x:v>Ưu tiên</x:v>
      </x:c>
      <x:c r="D6" s="16" t="str">
        <x:v>Phụ thuộc</x:v>
      </x:c>
      <x:c r="E6" s="16" t="str">
        <x:v>Nội dung</x:v>
      </x:c>
      <x:c r="F6" s="16" t="str">
        <x:v>Điều kiện qua mốc</x:v>
      </x:c>
      <x:c r="G6" s="16" t="str">
        <x:v>Bàn giao</x:v>
      </x:c>
      <x:c r="H6" s="16" t="str">
        <x:v>Ràng buộc</x:v>
      </x:c>
      <x:c r="I6" s="16" t="str">
        <x:v>Trạng thái kế hoạch</x:v>
      </x:c>
    </x:row>
    <x:row r="7" ht="64" customHeight="1">
      <x:c r="A7" s="4" t="str">
        <x:v>S0</x:v>
      </x:c>
      <x:c r="B7" s="4" t="str">
        <x:v>Đối chiếu HEAD mới và checklist</x:v>
      </x:c>
      <x:c r="C7" s="4" t="str">
        <x:v>P0</x:v>
      </x:c>
      <x:c r="D7" s="4" t="str">
        <x:v>Ngay trước khi tiếp tục</x:v>
      </x:c>
      <x:c r="E7" s="4" t="str">
        <x:v>Không giả định goal UI đã chạy; so với snapshot 16f70f6</x:v>
      </x:c>
      <x:c r="F7" s="4" t="str">
        <x:v>Module × function × API × permission × test; ghi implemented/partial/unknown</x:v>
      </x:c>
      <x:c r="G7" s="4" t="str">
        <x:v>FULL_MODULE_STATUS_MATRIX.md + PERMISSION_MATRIX.md</x:v>
      </x:c>
      <x:c r="H7" s="4" t="str">
        <x:v>Chỉ read/check môi trường an toàn; không thay source theo báo cáo cũ</x:v>
      </x:c>
      <x:c r="I7" s="4" t="str">
        <x:v>HOÀN TẤT — DOCOPS SYNC 07/10/2026</x:v>
      </x:c>
    </x:row>
    <x:row r="8" ht="64" customHeight="1">
      <x:c r="A8" s="4" t="str">
        <x:v>S1</x:v>
      </x:c>
      <x:c r="B8" s="4" t="str">
        <x:v>Đóng các gap quyền và session</x:v>
      </x:c>
      <x:c r="C8" s="4" t="str">
        <x:v>P0</x:v>
      </x:c>
      <x:c r="D8" s="4" t="str">
        <x:v>S0</x:v>
      </x:c>
      <x:c r="E8" s="4" t="str">
        <x:v>Quyền hành động, scope, UI checkbox, template/override, last admin</x:v>
      </x:c>
      <x:c r="F8" s="4" t="str">
        <x:v>Kiểm thử quyền bằng API và browser, logout/đổi tài khoản</x:v>
      </x:c>
      <x:c r="G8" s="4" t="str">
        <x:v>Access Control có backend enforcement; permission migration map</x:v>
      </x:c>
      <x:c r="H8" s="4" t="str">
        <x:v>Không đổi hàng loạt code quyền hoặc tự cấp quyền demo</x:v>
      </x:c>
      <x:c r="I8" s="4" t="str">
        <x:v>KẾ HOẠCH</x:v>
      </x:c>
    </x:row>
    <x:row r="9" ht="64" customHeight="1">
      <x:c r="A9" s="4" t="str">
        <x:v>S2</x:v>
      </x:c>
      <x:c r="B9" s="4" t="str">
        <x:v>Media riêng tư và lifecycle thật</x:v>
      </x:c>
      <x:c r="C9" s="4" t="str">
        <x:v>P0</x:v>
      </x:c>
      <x:c r="D9" s="4" t="str">
        <x:v>S0/S1</x:v>
      </x:c>
      <x:c r="E9" s="4" t="str">
        <x:v>Confirm upload, quyền file/resource, delete, storage integration</x:v>
      </x:c>
      <x:c r="F9" s="4" t="str">
        <x:v>User A không lấy file B; object hợp lệ trước READY</x:v>
      </x:c>
      <x:c r="G9" s="4" t="str">
        <x:v>Media E2E + contract mới được duyệt</x:v>
      </x:c>
      <x:c r="H9" s="4" t="str">
        <x:v>Không public bucket hoặc giả thành công</x:v>
      </x:c>
      <x:c r="I9" s="4" t="str">
        <x:v>KẾ HOẠCH</x:v>
      </x:c>
    </x:row>
    <x:row r="10" ht="64" customHeight="1">
      <x:c r="A10" s="4" t="str">
        <x:v>S3</x:v>
      </x:c>
      <x:c r="B10" s="4" t="str">
        <x:v>Tồn kho và nền dữ liệu đáng tin cậy</x:v>
      </x:c>
      <x:c r="C10" s="4" t="str">
        <x:v>P0</x:v>
      </x:c>
      <x:c r="D10" s="4" t="str">
        <x:v>S0; phối hợp S1</x:v>
      </x:c>
      <x:c r="E10" s="4" t="str">
        <x:v>Migrations, số lượng, serial, retry, concurrency, chuyển một phần</x:v>
      </x:c>
      <x:c r="F10" s="4" t="str">
        <x:v>PostgreSQL tests; số lượng/ledger/audit nhất quán</x:v>
      </x:c>
      <x:c r="G10" s="4" t="str">
        <x:v>Reservation/inventory contract + logs</x:v>
      </x:c>
      <x:c r="H10" s="4" t="str">
        <x:v>Môi trường local/test riêng; không reset dữ liệu</x:v>
      </x:c>
      <x:c r="I10" s="4" t="str">
        <x:v>KẾ HOẠCH</x:v>
      </x:c>
    </x:row>
    <x:row r="11" ht="64" customHeight="1">
      <x:c r="A11" s="4" t="str">
        <x:v>S4</x:v>
      </x:c>
      <x:c r="B11" s="4" t="str">
        <x:v>Nghiệm thu Mission hiện có</x:v>
      </x:c>
      <x:c r="C11" s="4" t="str">
        <x:v>P1</x:v>
      </x:c>
      <x:c r="D11" s="4" t="str">
        <x:v>S1/S2/S3</x:v>
      </x:c>
      <x:c r="E11" s="4" t="str">
        <x:v>Owner, lịch UAV/operator, giữ tài nguyên, bàn giao/hoàn trả, lifecycle</x:v>
      </x:c>
      <x:c r="F11" s="4" t="str">
        <x:v>Demo nhiều tài khoản từ yêu cầu tới đóng và trả thiết bị</x:v>
      </x:c>
      <x:c r="G11" s="4" t="str">
        <x:v>PHASE_2_ACCEPTANCE_REPORT.md</x:v>
      </x:c>
      <x:c r="H11" s="4" t="str">
        <x:v>Không xây lại Mission; không coi COMPLETED là đã trả mọi thiết bị</x:v>
      </x:c>
      <x:c r="I11" s="4" t="str">
        <x:v>KẾ HOẠCH</x:v>
      </x:c>
    </x:row>
    <x:row r="12" ht="64" customHeight="1">
      <x:c r="A12" s="4" t="str">
        <x:v>S5</x:v>
      </x:c>
      <x:c r="B12" s="4" t="str">
        <x:v>Hợp đồng entitlement/quota và Payment</x:v>
      </x:c>
      <x:c r="C12" s="4" t="str">
        <x:v>P2</x:v>
      </x:c>
      <x:c r="D12" s="4" t="str">
        <x:v>S0/S1; chốt contract sớm trước AI có tính phí</x:v>
      </x:c>
      <x:c r="E12" s="4" t="str">
        <x:v>Gói/đơn, provider mock/sandbox, callback, quota ledger</x:v>
      </x:c>
      <x:c r="F12" s="4" t="str">
        <x:v>Một sự kiện chỉ kích hoạt một lần; retry không trừ hai lần</x:v>
      </x:c>
      <x:c r="G12" s="4" t="str">
        <x:v>PAYMENT_ENTITLEMENT_REPORT.md</x:v>
      </x:c>
      <x:c r="H12" s="4" t="str">
        <x:v>Không gọi invoice nội bộ là hóa đơn điện tử đã tích hợp</x:v>
      </x:c>
      <x:c r="I12" s="4" t="str">
        <x:v>KẾ HOẠCH</x:v>
      </x:c>
    </x:row>
    <x:row r="13" ht="64" customHeight="1">
      <x:c r="A13" s="4" t="str">
        <x:v>S6</x:v>
      </x:c>
      <x:c r="B13" s="4" t="str">
        <x:v>AI đầu-cuối và edge xác minh riêng</x:v>
      </x:c>
      <x:c r="C13" s="4" t="str">
        <x:v>P2</x:v>
      </x:c>
      <x:c r="D13" s="4" t="str">
        <x:v>Media và Mission ổn; quyền/quota contract được chốt</x:v>
      </x:c>
      <x:c r="E13" s="4" t="str">
        <x:v>Job/queue, cloud/local YOLOv8s, output, quyền; KV260 nếu đủ điều kiện</x:v>
      </x:c>
      <x:c r="F13" s="4" t="str">
        <x:v>Media → job → output thật; edge có bằng chứng trên thiết bị</x:v>
      </x:c>
      <x:c r="G13" s="4" t="str">
        <x:v>AI_PIPELINE_ACCEPTANCE_REPORT.md</x:v>
      </x:c>
      <x:c r="H13" s="4" t="str">
        <x:v>Không dùng kết quả mock làm kết quả thật; không bảo đảm tương thích edge trước test</x:v>
      </x:c>
      <x:c r="I13" s="4" t="str">
        <x:v>KẾ HOẠCH</x:v>
      </x:c>
    </x:row>
    <x:row r="14" ht="64" customHeight="1">
      <x:c r="A14" s="4" t="str">
        <x:v>S7</x:v>
      </x:c>
      <x:c r="B14" s="4" t="str">
        <x:v>Nhiệm vụ cứu nạn</x:v>
      </x:c>
      <x:c r="C14" s="4" t="str">
        <x:v>P2</x:v>
      </x:c>
      <x:c r="D14" s="4" t="str">
        <x:v>Mission/AI phù hợp và quyền cứu hộ</x:v>
      </x:c>
      <x:c r="E14" s="4" t="str">
        <x:v>Sự cố, khu vực, vị trí cuối, ưu tiên, người xác nhận kết quả</x:v>
      </x:c>
      <x:c r="F14" s="4" t="str">
        <x:v>Luồng riêng với audit quyết định và scope team/mission</x:v>
      </x:c>
      <x:c r="G14" s="4" t="str">
        <x:v>SAR_ACCEPTANCE_REPORT.md</x:v>
      </x:c>
      <x:c r="H14" s="4" t="str">
        <x:v>Không suy địa điểm thực từ bounding box thiếu dữ liệu định vị</x:v>
      </x:c>
      <x:c r="I14" s="4" t="str">
        <x:v>KẾ HOẠCH</x:v>
      </x:c>
    </x:row>
    <x:row r="15" ht="64" customHeight="1">
      <x:c r="A15" s="4" t="str">
        <x:v>S8</x:v>
      </x:c>
      <x:c r="B15" s="4" t="str">
        <x:v>Thông báo và báo cáo quản trị đầy đủ</x:v>
      </x:c>
      <x:c r="C15" s="4" t="str">
        <x:v>P2</x:v>
      </x:c>
      <x:c r="D15" s="4" t="str">
        <x:v>Triển khai tăng dần cùng module phát sinh sự kiện</x:v>
      </x:c>
      <x:c r="E15" s="4" t="str">
        <x:v>Inbox, đọc/chưa đọc, loại sự kiện; reports/config thực sự cần</x:v>
      </x:c>
      <x:c r="F15" s="4" t="str">
        <x:v>Thông báo đúng recipient; reports đúng scope và nguồn</x:v>
      </x:c>
      <x:c r="G15" s="4" t="str">
        <x:v>ADMIN_NOTIFICATION_REPORT.md</x:v>
      </x:c>
      <x:c r="H15" s="4" t="str">
        <x:v>Audit ghi từ đầu, không chờ cuối dự án mới thêm</x:v>
      </x:c>
      <x:c r="I15" s="4" t="str">
        <x:v>KẾ HOẠCH</x:v>
      </x:c>
    </x:row>
    <x:row r="16" ht="64" customHeight="1">
      <x:c r="A16" s="4" t="str">
        <x:v>SX</x:v>
      </x:c>
      <x:c r="B16" s="4" t="str">
        <x:v>UI table-first và TanStack Query</x:v>
      </x:c>
      <x:c r="C16" s="4" t="str">
        <x:v>P1</x:v>
      </x:c>
      <x:c r="D16" s="4" t="str">
        <x:v>Làm song song theo từng vertical slice đã ổn API</x:v>
      </x:c>
      <x:c r="E16" s="4" t="str">
        <x:v>Áp dụng goal UI; 3D on-demand; không action giả</x:v>
      </x:c>
      <x:c r="F16" s="4" t="str">
        <x:v>Screenshots mới và kiểm thử thao tác thật</x:v>
      </x:c>
      <x:c r="G16" s="4" t="str">
        <x:v>UAV_PAS_UI_REDESIGN_REPORT.md</x:v>
      </x:c>
      <x:c r="H16" s="4" t="str">
        <x:v>UI đẹp không thay thế hợp đồng dữ liệu và bảo mật</x:v>
      </x:c>
      <x:c r="I16" s="4" t="str">
        <x:v>KẾ HOẠCH</x:v>
      </x:c>
    </x:row>
    <x:row r="17" ht="64" customHeight="1">
      <x:c r="A17" s="4" t="str">
        <x:v>SG</x:v>
      </x:c>
      <x:c r="B17" s="4" t="str">
        <x:v>Nghiệm thu từng module và liên module</x:v>
      </x:c>
      <x:c r="C17" s="4" t="str">
        <x:v>P0</x:v>
      </x:c>
      <x:c r="D17" s="4" t="str">
        <x:v>Lặp lại sau mỗi mốc</x:v>
      </x:c>
      <x:c r="E17" s="4" t="str">
        <x:v>API+quyền+database+UI+tests, critical gaps, runtime</x:v>
      </x:c>
      <x:c r="F17" s="4" t="str">
        <x:v>Không có lỗi nghiêm trọng; thiếu bằng chứng ghi NOT_VERIFIED</x:v>
      </x:c>
      <x:c r="G17" s="4" t="str">
        <x:v>Báo cáo cập nhật kèm HEAD, command và evidence</x:v>
      </x:c>
      <x:c r="H17" s="4" t="str">
        <x:v>Không tự tính % hoàn thành từ số test hoặc số dòng checklist</x:v>
      </x:c>
      <x:c r="I17" s="4" t="str">
        <x:v>KẾ HOẠCH</x:v>
      </x:c>
    </x:row>
  </x:sheetData>
  <x:mergeCells>
    <x:mergeCell ref="A1:I1"/>
    <x:mergeCell ref="A2:I4"/>
  </x:mergeCells>
  <x:dataValidations count="1">
    <x:dataValidation type="list" sqref="I7:I17">
      <x:formula1>"KẾ HOẠCH,ĐANG LÀM,CHỜ KIỂM TRA,ĐÃ NGHIỆM THU,BỊ CHẶN"</x:formula1>
    </x:dataValidation>
  </x:dataValidations>
  <x:pageMargins left="0.7" right="0.7" top="0.75" bottom="0.75" header="0.3" footer="0.3"/>
  <x:tableParts count="1">
    <x:tablePart xmlns:r="http://schemas.openxmlformats.org/officeDocument/2006/relationships" r:id="R93b080d6f5d14cbb"/>
  </x:tableParts>
</x:worksheet>
</file>

<file path=xl/worksheets/sheet5.xml><?xml version="1.0" encoding="utf-8"?>
<x:worksheet xmlns:x="http://schemas.openxmlformats.org/spreadsheetml/2006/main">
  <x:sheetFormatPr defaultRowHeight="15"/>
  <x:cols>
    <x:col min="1" max="1" width="26" hidden="0" customWidth="1"/>
    <x:col min="2" max="2" width="36" hidden="0" customWidth="1"/>
    <x:col min="3" max="3" width="40" hidden="0" customWidth="1"/>
    <x:col min="4" max="4" width="40" hidden="0" customWidth="1"/>
  </x:cols>
  <x:sheetData>
    <x:row r="1" ht="34" customHeight="1">
      <x:c r="A1" s="9" t="str">
        <x:v>UAV PAS | NGUỒN, GIỚI HẠN VÀ CÁCH SỬ DỤNG</x:v>
      </x:c>
      <x:c r="B1" s="9"/>
      <x:c r="C1" s="9"/>
      <x:c r="D1" s="9"/>
    </x:row>
    <x:row r="2" ht="19" customHeight="1">
      <x:c r="A2" s="13" t="str">
        <x:v>Bảng này dùng để quản lý việc hoàn thiện, không phải chứng thư xác nhận tất cả tính năng hiện tại. Trạng thái lịch sử chỉ dựa trên handoff đã cung cấp. Mọi cập nhật mới cần mã commit và bằng chứng.</x:v>
      </x:c>
      <x:c r="B2" s="13"/>
      <x:c r="C2" s="13"/>
      <x:c r="D2" s="13"/>
    </x:row>
    <x:row r="3" ht="19" customHeight="1">
      <x:c r="A3" s="13"/>
      <x:c r="B3" s="13"/>
      <x:c r="C3" s="13"/>
      <x:c r="D3" s="13"/>
    </x:row>
    <x:row r="4" ht="19" customHeight="1">
      <x:c r="A4" s="13"/>
      <x:c r="B4" s="13"/>
      <x:c r="C4" s="13"/>
      <x:c r="D4" s="13"/>
    </x:row>
    <x:row r="5" ht="8" customHeight="1">
      <x:c r="A5" s="4"/>
      <x:c r="B5" s="4"/>
      <x:c r="C5" s="4"/>
      <x:c r="D5" s="4"/>
    </x:row>
    <x:row r="6" ht="32" customHeight="1">
      <x:c r="A6" s="16" t="str">
        <x:v>Mục</x:v>
      </x:c>
      <x:c r="B6" s="16" t="str">
        <x:v>Giá trị / ký hiệu</x:v>
      </x:c>
      <x:c r="C6" s="16" t="str">
        <x:v>Giải thích</x:v>
      </x:c>
      <x:c r="D6" s="16" t="str">
        <x:v>Lưu ý</x:v>
      </x:c>
    </x:row>
    <x:row r="7" ht="78" customHeight="1">
      <x:c r="A7" s="4" t="str">
        <x:v>Nguồn lịch sử</x:v>
      </x:c>
      <x:c r="B7" s="4" t="str">
        <x:v>PHASE_1_HANDOFF.md</x:v>
      </x:c>
      <x:c r="C7" s="4" t="str">
        <x:v>2026-10-06 UTC; HEAD 16f70f6.</x:v>
      </x:c>
      <x:c r="D7" s="4" t="str">
        <x:v>Giữ nguyên làm snapshot lịch sử.</x:v>
      </x:c>
    </x:row>
    <x:row r="8" ht="78" customHeight="1">
      <x:c r="A8" s="4" t="str">
        <x:v>Nguồn sync hiện tại</x:v>
      </x:c>
      <x:c r="B8" s="4" t="str">
        <x:v>FINAL_INTEGRATION_HANDOFF.md; BACKEND_BUSINESS_VERIFICATION.md</x:v>
      </x:c>
      <x:c r="C8" s="4" t="str">
        <x:v>2026-10-07; branch feat/clean-architecture-auth; HEAD 6ecc851.</x:v>
      </x:c>
      <x:c r="D8" s="4" t="str">
        <x:v>Đây là cơ sở trạng thái mới; không sửa lịch sử.</x:v>
      </x:c>
    </x:row>
    <x:row r="9" ht="78" customHeight="1">
      <x:c r="A9" s="4" t="str">
        <x:v>Bằng chứng kiểm thử</x:v>
      </x:c>
      <x:c r="B9" s="4" t="str">
        <x:v>204 backend pass, 0 failures, 0 errors, 6 skipped; frontend test/typecheck/lint/build pass; PostgreSQL 5/5; RustFS storage pass.</x:v>
      </x:c>
      <x:c r="C9" s="4" t="str">
        <x:v>Exit/log files under docs/handoff/final/evidence and docs/handoff/evidence.</x:v>
      </x:c>
      <x:c r="D9" s="4" t="str">
        <x:v>MinIO configured remains NOT_VERIFIED.</x:v>
      </x:c>
    </x:row>
    <x:row r="10" ht="78" customHeight="1">
      <x:c r="A10" s="4" t="str">
        <x:v>Cách trích nguồn</x:v>
      </x:c>
      <x:c r="B10" s="4" t="str">
        <x:v>Tên file + HEAD + command + evidence path</x:v>
      </x:c>
      <x:c r="C10" s="4" t="str">
        <x:v>Các báo cáo mới ghi rõ giới hạn; Chuc nang!J:K là trạng thái mới.</x:v>
      </x:c>
      <x:c r="D10" s="4" t="str">
        <x:v>Không coi build/source-only là nghiệm thu đầu-cuối.</x:v>
      </x:c>
    </x:row>
    <x:row r="11" ht="78" customHeight="1">
      <x:c r="A11" s="4" t="str">
        <x:v>Trạng thái</x:v>
      </x:c>
      <x:c r="B11" s="4" t="str">
        <x:v>CO_TEST_PHAM_VI_HEP</x:v>
      </x:c>
      <x:c r="C11" s="4" t="str">
        <x:v>Có test được báo cáo cho một hành vi cụ thể.</x:v>
      </x:c>
      <x:c r="D11" s="4" t="str">
        <x:v>Không đồng nghĩa toàn module, UI hoặc deployment đã hoàn tất.</x:v>
      </x:c>
    </x:row>
    <x:row r="12" ht="78" customHeight="1">
      <x:c r="A12" s="4" t="str">
        <x:v>Trạng thái</x:v>
      </x:c>
      <x:c r="B12" s="4" t="str">
        <x:v>CO_MOT_PHAN</x:v>
      </x:c>
      <x:c r="C12" s="4" t="str">
        <x:v>Code/API/UI tồn tại nhưng thiếu chức năng hoặc bằng chứng nghiệm thu.</x:v>
      </x:c>
      <x:c r="D12" s="4" t="str">
        <x:v>Có thể đã triển khai thêm sau handoff; cần report mới để cập nhật.</x:v>
      </x:c>
    </x:row>
    <x:row r="13" ht="78" customHeight="1">
      <x:c r="A13" s="4" t="str">
        <x:v>Trạng thái</x:v>
      </x:c>
      <x:c r="B13" s="4" t="str">
        <x:v>CHUA_TRIEN_KHAI_THEO_BC</x:v>
      </x:c>
      <x:c r="C13" s="4" t="str">
        <x:v>Báo cáo nêu rõ phần này chưa có trong phạm vi kiểm tra.</x:v>
      </x:c>
      <x:c r="D13" s="4" t="str">
        <x:v>Không tuyên bố chưa có ở HEAD hiện tại nếu chưa kiểm tra lại.</x:v>
      </x:c>
    </x:row>
    <x:row r="14" ht="78" customHeight="1">
      <x:c r="A14" s="4" t="str">
        <x:v>Trạng thái</x:v>
      </x:c>
      <x:c r="B14" s="4" t="str">
        <x:v>CHUA_XAC_MINH</x:v>
      </x:c>
      <x:c r="C14" s="4" t="str">
        <x:v>Nguồn chưa đủ kết luận đã làm hay chưa làm.</x:v>
      </x:c>
      <x:c r="D14" s="4" t="str">
        <x:v>Các module ngoài phạm vi Phase 1 không tự động bị gán 'không có code'.</x:v>
      </x:c>
    </x:row>
    <x:row r="15" ht="78" customHeight="1">
      <x:c r="A15" s="4" t="str">
        <x:v>Trạng thái</x:v>
      </x:c>
      <x:c r="B15" s="4" t="str">
        <x:v>TAM_HOAN</x:v>
      </x:c>
      <x:c r="C15" s="4" t="str">
        <x:v>Người dùng chủ động tạm hoãn module 9 và 10.</x:v>
      </x:c>
      <x:c r="D15" s="4" t="str">
        <x:v>Không tính thành lỗi hoặc công việc bắt buộc của 10 nhánh đang triển khai.</x:v>
      </x:c>
    </x:row>
    <x:row r="16" ht="78" customHeight="1">
      <x:c r="A16" s="4" t="str">
        <x:v>Cột chỉnh sửa</x:v>
      </x:c>
      <x:c r="B16" s="4" t="str">
        <x:v>Chuc nang!J:K; Phan quyen!I:J</x:v>
      </x:c>
      <x:c r="C16" s="4" t="str">
        <x:v>Cập nhật status/evidence tại HEAD 6ecc851.</x:v>
      </x:c>
      <x:c r="D16" s="4" t="str">
        <x:v>Không sửa cột lịch sử D/G hoặc B–H.</x:v>
      </x:c>
    </x:row>
    <x:row r="17" ht="78" customHeight="1">
      <x:c r="A17" s="4" t="str">
        <x:v>Đề xuất vs thực tế</x:v>
      </x:c>
      <x:c r="B17" s="4" t="str">
        <x:v>Chuc nang F/I; Phan quyen E/F/G; Lo trinh</x:v>
      </x:c>
      <x:c r="C17" s="4" t="str">
        <x:v>Vùng đề xuất vẫn là kế hoạch, không phải bằng chứng.</x:v>
      </x:c>
      <x:c r="D17" s="4" t="str">
        <x:v>Chỉ J/K và I/J mới phản ánh sync hiện tại.</x:v>
      </x:c>
    </x:row>
    <x:row r="18" ht="78" customHeight="1">
      <x:c r="A18" s="4" t="str">
        <x:v>Quyền và hạn mức</x:v>
      </x:c>
      <x:c r="B18" s="4" t="str">
        <x:v>Permission, resource scope, entitlement/quota</x:v>
      </x:c>
      <x:c r="C18" s="4" t="str">
        <x:v>31 permission codes được audit; action-level *_MANAGE gaps vẫn còn.</x:v>
      </x:c>
      <x:c r="D18" s="4" t="str">
        <x:v>Tick permission không tự thêm quota/payment.</x:v>
      </x:c>
    </x:row>
    <x:row r="19" ht="78" customHeight="1">
      <x:c r="A19" s="4" t="str">
        <x:v>UI reference</x:v>
      </x:c>
      <x:c r="B19" s="4" t="str">
        <x:v>Ánh Châu và goal table-first</x:v>
      </x:c>
      <x:c r="C19" s="4" t="str">
        <x:v>Ảnh/goal vẫn là hướng thiết kế, không phải completion proof.</x:v>
      </x:c>
      <x:c r="D19" s="4" t="str">
        <x:v>Chỉ selected browser evidence được ghi nhận.</x:v>
      </x:c>
    </x:row>
    <x:row r="20" ht="78" customHeight="1">
      <x:c r="A20" s="4" t="str">
        <x:v>Ưu tiên</x:v>
      </x:c>
      <x:c r="B20" s="4" t="str">
        <x:v>P0 / P1 / P2 / DEFER</x:v>
      </x:c>
      <x:c r="C20" s="4" t="str">
        <x:v>Giữ nguyên roadmap hiện tại.</x:v>
      </x:c>
      <x:c r="D20" s="4" t="str">
        <x:v>Không dùng % hoặc số test để suy tiến độ.</x:v>
      </x:c>
    </x:row>
    <x:row r="21" ht="78" customHeight="1">
      <x:c r="A21" s="4" t="str">
        <x:v>Không làm trùng</x:v>
      </x:c>
      <x:c r="B21" s="4" t="str">
        <x:v>Fleet ↔ Inventory; Identity ↔ Payment</x:v>
      </x:c>
      <x:c r="C21" s="4" t="str">
        <x:v>Giữ nguyên hướng dùng chung định danh và entitlement riêng.</x:v>
      </x:c>
      <x:c r="D21" s="4" t="str">
        <x:v>Chưa có payment/AI/SAR/notification implementation.</x:v>
      </x:c>
    </x:row>
    <x:row r="22" ht="78" customHeight="1">
      <x:c r="A22" s="4" t="str">
        <x:v>Điều kiện tick toàn module</x:v>
      </x:c>
      <x:c r="B22" s="4" t="str">
        <x:v>API + dữ liệu + nghiệp vụ + quyền + UI + tests + môi trường</x:v>
      </x:c>
      <x:c r="C22" s="4" t="str">
        <x:v>Module vẫn PARTIAL nếu còn gap nghiêm trọng hoặc bằng chứng thiếu.</x:v>
      </x:c>
      <x:c r="D22" s="4" t="str">
        <x:v>DocOps không tự sửa product source.</x:v>
      </x:c>
    </x:row>
    <x:row r="23">
      <x:c r="A23" t="str">
        <x:v>LAST_SYNCED_SHA</x:v>
      </x:c>
      <x:c r="B23" t="str">
        <x:v>6ecc85111a28e53679b2a6d8ac7ec93730d80be4</x:v>
      </x:c>
      <x:c r="C23" t="str">
        <x:v>Được ghi sau khi snapshot này hoàn tất.</x:v>
      </x:c>
      <x:c r="D23" t="str">
        <x:v>Không trộn evidence từ HEAD khác.</x:v>
      </x:c>
    </x:row>
    <x:row r="24">
      <x:c r="A24" t="str">
        <x:v>Sync artifact</x:v>
      </x:c>
      <x:c r="B24" t="str">
        <x:v>DOC_SYNC_2026-10-07_6ecc851</x:v>
      </x:c>
      <x:c r="C24" t="str">
        <x:v>docs/handoff/docops/DOC_SYNC_2026-10-07_6ecc851.md</x:v>
      </x:c>
      <x:c r="D24" t="str">
        <x:v>Báo cáo sync phải giữ branch, HEAD, files, status changes, gaps.</x:v>
      </x:c>
    </x:row>
    <x:row r="25">
      <x:c r="A25" t="str">
        <x:v>Drive write access</x:v>
      </x:c>
      <x:c r="B25" t="str">
        <x:v>CONFIRMED</x:v>
      </x:c>
      <x:c r="C25" t="str">
        <x:v>Owner/editor access confirmed by Drive metadata for README and checklist.</x:v>
      </x:c>
      <x:c r="D25" t="str">
        <x:v>Target files: canonical README and checklist in /uav_platform_pass.</x:v>
      </x:c>
    </x:row>
    <x:row r="26">
      <x:c r="A26" t="str">
        <x:v>Drive sync result</x:v>
      </x:c>
      <x:c r="B26" t="str">
        <x:v>PENDING UNTIL FINAL VERIFICATION</x:v>
      </x:c>
      <x:c r="C26" t="str">
        <x:v>README/checklist and new reports are updated sequentially, then folder is re-listed.</x:v>
      </x:c>
      <x:c r="D26" t="str">
        <x:v>Do not claim PASS before readback.</x:v>
      </x:c>
    </x:row>
  </x:sheetData>
  <x:mergeCells>
    <x:mergeCell ref="A1:D1"/>
    <x:mergeCell ref="A2:D4"/>
  </x:mergeCells>
  <x:pageMargins left="0.7" right="0.7" top="0.75" bottom="0.75" header="0.3" footer="0.3"/>
  <x:tableParts count="1">
    <x:tablePart xmlns:r="http://schemas.openxmlformats.org/officeDocument/2006/relationships" r:id="Rbce0c22ad99b48d9"/>
  </x:tableParts>
</x:worksheet>
</file>